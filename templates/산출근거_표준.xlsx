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총괄표" sheetId="1" r:id="rId1"/>
    <sheet name="산출근거" sheetId="2" r:id="rId2"/>
  </sheets>
  <definedNames>
    <definedName name="_xlnm.Print_Area" localSheetId="0">예산총괄표_250305!$A$1:$N$45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3">
    <numFmt numFmtId="41" formatCode="_-* #,##0_-;\-* #,##0_-;_-* &quot;-&quot;_-;_-@_-"/>
    <numFmt numFmtId="43" formatCode="_-* #,##0.00_-;\-* #,##0.00_-;_-* &quot;-&quot;??_-;_-@_-"/>
    <numFmt numFmtId="56" formatCode="&quot;上午/下午 &quot;hh&quot;時&quot;mm&quot;分&quot;ss&quot;秒 &quot;"/>
    <numFmt numFmtId="176" formatCode="&quot;₩&quot;#,##0_);[Red]\(&quot;₩&quot;#,##0\)"/>
    <numFmt numFmtId="177" formatCode="&quot;₩&quot;#,##0.00_);[Red]\(&quot;₩&quot;#,##0.00\)"/>
    <numFmt numFmtId="178" formatCode="_-* #,##0_-;\-* #,##0_-;_-* &quot;-&quot;??_-;_-@_-"/>
    <numFmt numFmtId="179" formatCode="_-* #,##0.0_-;\-* #,##0.0_-;_-* &quot;-&quot;?_-;_-@_-"/>
    <numFmt numFmtId="180" formatCode="0.0%"/>
    <numFmt numFmtId="181" formatCode="#,##0_ "/>
    <numFmt numFmtId="182" formatCode="0_);[Red]\(0\)"/>
    <numFmt numFmtId="183" formatCode="_-* #,##0.0000_-;\-* #,##0.0000_-;_-* &quot;-&quot;_-;_-@_-"/>
    <numFmt numFmtId="184" formatCode="_-* #,##0.00_-;\-* #,##0.00_-;_-* &quot;-&quot;_-;_-@_-"/>
    <numFmt numFmtId="185" formatCode="0.00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NumberFormat="1"/>
    <xf numFmtId="41" fontId="0" fillId="0" borderId="0" xfId="0" applyNumberFormat="1"/>
    <xf numFmtId="10" fontId="0" fillId="0" borderId="0" xfId="0" applyNumberFormat="1"/>
    <xf numFmtId="9" fontId="0" fillId="0" borderId="0" xfId="0" applyNumberFormat="1"/>
    <xf numFmtId="178" fontId="0" fillId="0" borderId="0" xfId="0" applyNumberFormat="1"/>
    <xf numFmtId="3" fontId="0" fillId="0" borderId="0" xfId="0" applyNumberFormat="1"/>
    <xf numFmtId="183" fontId="0" fillId="0" borderId="0" xfId="0" applyNumberFormat="1"/>
    <xf numFmtId="180" fontId="0" fillId="0" borderId="0" xfId="0" applyNumberFormat="1"/>
    <xf numFmtId="182" fontId="0" fillId="0" borderId="0" xfId="0" applyNumberFormat="1"/>
    <xf numFmtId="176" fontId="0" fillId="0" borderId="0" xfId="0" applyNumberFormat="1"/>
    <xf numFmtId="181" fontId="0" fillId="0" borderId="0" xfId="0" applyNumberFormat="1"/>
    <xf numFmtId="38" fontId="0" fillId="0" borderId="0" xfId="0" applyNumberFormat="1"/>
    <xf numFmtId="17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2022 íë§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æ¸¸ã´ã·ãã¯ Light"/>
        <a:font script="Hang" typeface="ë§ì ê³ ë"/>
        <a:font script="Hans" typeface="ç­çº¿ Light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æ¸¸ã´ã·ãã¯"/>
        <a:font script="Hang" typeface="ë§ì ê³ ë"/>
        <a:font script="Hans" typeface="ç­çº¿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B1:J30"/>
  <sheetViews>
    <sheetView workbookViewId="0" rightToLeft="0"/>
  </sheetViews>
  <cols>
    <col min="2" max="2" customWidth="1" width="15.58203125"/>
    <col min="3" max="3" customWidth="1" width="15.58203125"/>
    <col min="4" max="4" customWidth="1" width="15.58203125"/>
    <col min="5" max="5" customWidth="1" width="15.58203125"/>
    <col min="6" max="6" customWidth="1" width="15.58203125"/>
    <col min="7" max="7" customWidth="1" width="15.58203125"/>
    <col min="8" max="8" customWidth="1" width="15.58203125"/>
    <col min="9" max="9" customWidth="1" width="15.58203125"/>
    <col min="10" max="10" customWidth="1" width="20.58203125"/>
  </cols>
  <sheetData>
    <row r="1" ht="17.5" customHeight="1"/>
    <row r="2" ht="17.25" customHeight="1">
      <c r="B2" t="str">
        <v>비목</v>
      </c>
      <c r="C2" t="str">
        <v xml:space="preserve">세목 </v>
      </c>
      <c r="D2"/>
      <c r="E2"/>
      <c r="F2" t="str">
        <v>1차년도</v>
      </c>
      <c r="G2" t="str">
        <v>2차년도</v>
      </c>
      <c r="H2" t="str">
        <v>3차년도</v>
      </c>
      <c r="I2" t="str">
        <v>4차년도</v>
      </c>
      <c r="J2" t="str">
        <v>합계</v>
      </c>
    </row>
    <row r="3" ht="17.5" customHeight="1">
      <c r="B3"/>
      <c r="C3"/>
      <c r="D3"/>
      <c r="E3"/>
      <c r="F3"/>
      <c r="G3"/>
      <c r="H3"/>
      <c r="I3"/>
      <c r="J3"/>
    </row>
    <row r="4" ht="18" customHeight="1">
      <c r="B4"/>
      <c r="C4" t="str">
        <v>인건비</v>
      </c>
      <c r="D4" t="str">
        <v>내부인건비 (A)</v>
      </c>
      <c r="E4" t="str">
        <v>현금 (N)</v>
      </c>
      <c r="F4" s="1" t="e">
        <f>'1차년도_250520'!G13</f>
      </c>
      <c r="J4" s="1" t="e">
        <f>SUM(F4:I4)</f>
      </c>
    </row>
    <row r="5" ht="17.5" customHeight="1">
      <c r="B5"/>
      <c r="C5"/>
      <c r="D5"/>
      <c r="E5" t="str">
        <v>현물</v>
      </c>
      <c r="F5" s="1" t="e">
        <f>'1차년도_250520'!G14</f>
      </c>
      <c r="J5" s="1" t="e">
        <f>SUM(F5:I5)</f>
      </c>
    </row>
    <row r="6" ht="17.5" customHeight="1">
      <c r="B6"/>
      <c r="C6"/>
      <c r="D6" t="str">
        <v>외부인건비 (B)</v>
      </c>
      <c r="E6" t="str">
        <v>현금 (O)</v>
      </c>
      <c r="F6" s="1" t="e">
        <f>'1차년도_250520'!G15</f>
      </c>
      <c r="J6" s="1" t="e">
        <f>SUM(F6:I6)</f>
      </c>
    </row>
    <row r="7" ht="17.5" customHeight="1">
      <c r="B7"/>
      <c r="C7"/>
      <c r="D7"/>
      <c r="E7" t="str">
        <v>현물</v>
      </c>
      <c r="F7" s="1" t="e">
        <f>'1차년도_250520'!G16</f>
      </c>
      <c r="J7" s="1" t="e">
        <f>SUM(F7:I7)</f>
      </c>
    </row>
    <row r="8" ht="17.5" customHeight="1">
      <c r="B8"/>
      <c r="C8"/>
      <c r="D8" t="str">
        <v>연구지원인력인건비 (C)</v>
      </c>
      <c r="E8" t="str">
        <v>현금 (P)</v>
      </c>
      <c r="F8" s="1" t="e">
        <f>'1차년도_250520'!G17</f>
      </c>
      <c r="J8" s="1" t="e">
        <f>SUM(F8:I8)</f>
      </c>
    </row>
    <row r="9" ht="17.5" customHeight="1">
      <c r="B9"/>
      <c r="C9"/>
      <c r="D9"/>
      <c r="E9" t="str">
        <v>현물</v>
      </c>
      <c r="F9" s="1" t="e">
        <f>'1차년도_250520'!G18</f>
      </c>
      <c r="J9" s="1" t="e">
        <f>SUM(F9:I9)</f>
      </c>
    </row>
    <row r="10" ht="17.5" customHeight="1">
      <c r="B10"/>
      <c r="C10" t="str">
        <v>학생 인건비 (D)</v>
      </c>
      <c r="D10"/>
      <c r="E10"/>
      <c r="F10" s="1" t="e">
        <f>'1차년도_250520'!G19</f>
      </c>
      <c r="J10" s="1" t="e">
        <f>SUM(F10:I10)</f>
      </c>
    </row>
    <row r="11" ht="17.5" customHeight="1">
      <c r="B11"/>
      <c r="C11"/>
      <c r="D11"/>
      <c r="E11"/>
      <c r="F11" s="1" t="e">
        <f>'1차년도_250520'!G20</f>
      </c>
      <c r="J11" s="1" t="e">
        <f>SUM(F11:I11)</f>
      </c>
    </row>
    <row r="12" ht="17.5" customHeight="1">
      <c r="B12"/>
      <c r="C12" t="str">
        <v>총 인건비1) (E=A+B+C+D)</v>
      </c>
      <c r="D12"/>
      <c r="E12"/>
      <c r="F12" s="1" t="e">
        <f>'1차년도_250520'!G21</f>
      </c>
      <c r="J12" s="1" t="e">
        <f>SUM(F12:I12)</f>
      </c>
    </row>
    <row r="13" ht="17.5" customHeight="1">
      <c r="B13"/>
      <c r="C13" t="str">
        <v>수정인건비2) (E1=A+B+D)</v>
      </c>
      <c r="D13"/>
      <c r="E13"/>
      <c r="F13" s="1" t="e">
        <f>'1차년도_250520'!G22</f>
      </c>
      <c r="J13" s="1" t="e">
        <f>SUM(F13:I13)</f>
      </c>
    </row>
    <row r="14" ht="17.5" customHeight="1">
      <c r="B14"/>
      <c r="C14" t="str">
        <v>연구시설‧장비비 (F)</v>
      </c>
      <c r="D14"/>
      <c r="E14" t="str">
        <v>현금 (R)</v>
      </c>
      <c r="F14" s="1" t="e">
        <f>'1차년도_250520'!G23</f>
      </c>
      <c r="J14" s="1" t="e">
        <f>SUM(F14:I14)</f>
      </c>
    </row>
    <row r="15" ht="17.5" customHeight="1">
      <c r="B15"/>
      <c r="C15"/>
      <c r="D15"/>
      <c r="E15" t="str">
        <v>현물</v>
      </c>
      <c r="F15" s="1" t="e">
        <f>'1차년도_250520'!G24</f>
      </c>
      <c r="J15" s="1" t="e">
        <f>SUM(F15:I15)</f>
      </c>
    </row>
    <row r="16" ht="17.5" customHeight="1">
      <c r="B16"/>
      <c r="C16" t="str">
        <v>(연구시설‧장비비 중 통합관리비(현금))</v>
      </c>
      <c r="D16"/>
      <c r="E16"/>
      <c r="F16" s="1" t="e">
        <f>'1차년도_250520'!G25</f>
      </c>
      <c r="J16" s="1" t="e">
        <f>SUM(F16:I16)</f>
      </c>
    </row>
    <row r="17" ht="17.5" customHeight="1">
      <c r="B17"/>
      <c r="C17" t="str">
        <v>연구재료비 (G)</v>
      </c>
      <c r="D17"/>
      <c r="E17" t="str">
        <v>현금 (S)</v>
      </c>
      <c r="F17" s="1" t="e">
        <f>'1차년도_250520'!G26</f>
      </c>
      <c r="J17" s="1" t="e">
        <f>SUM(F17:I17)</f>
      </c>
    </row>
    <row r="18" ht="17.5" customHeight="1">
      <c r="B18"/>
      <c r="C18"/>
      <c r="D18"/>
      <c r="E18" t="str">
        <v>현물</v>
      </c>
      <c r="F18" s="1" t="e">
        <f>'1차년도_250520'!G27</f>
      </c>
      <c r="J18" s="1" t="e">
        <f>SUM(F18:I18)</f>
      </c>
    </row>
    <row r="19" ht="17.5" customHeight="1">
      <c r="B19"/>
      <c r="C19" t="str">
        <v>연구활동비 (H)</v>
      </c>
      <c r="D19"/>
      <c r="E19" t="str">
        <v>현금 (T)</v>
      </c>
      <c r="F19" s="1" t="e">
        <f>'1차년도_250520'!G28</f>
      </c>
      <c r="J19" s="1" t="e">
        <f>SUM(F19:I19)</f>
      </c>
    </row>
    <row r="20" ht="17.5" customHeight="1">
      <c r="B20"/>
      <c r="C20"/>
      <c r="D20"/>
      <c r="E20" t="str">
        <v>현물</v>
      </c>
      <c r="F20" s="1" t="e">
        <f>'1차년도_250520'!G29</f>
      </c>
      <c r="J20" s="1" t="e">
        <f>SUM(F20:I20)</f>
      </c>
    </row>
    <row r="21" ht="17.5" customHeight="1">
      <c r="B21"/>
      <c r="C21" t="str">
        <v>연구수당 (I)</v>
      </c>
      <c r="D21"/>
      <c r="E21" t="str">
        <v>현금 (U)</v>
      </c>
      <c r="F21" s="1" t="e">
        <f>'1차년도_250520'!G30</f>
      </c>
      <c r="J21" s="1" t="e">
        <f>SUM(F21:I21)</f>
      </c>
    </row>
    <row r="22" ht="17.5" customHeight="1">
      <c r="B22"/>
      <c r="C22"/>
      <c r="D22"/>
      <c r="E22" t="str">
        <v>현물</v>
      </c>
      <c r="F22" s="1" t="e">
        <f>'1차년도_250520'!G31</f>
      </c>
      <c r="J22" s="1" t="e">
        <f>SUM(F22:I22)</f>
      </c>
    </row>
    <row r="23" ht="17.5" customHeight="1">
      <c r="B23"/>
      <c r="C23" t="str">
        <v>* 연구수당 비율3) (I/E1)</v>
      </c>
      <c r="D23"/>
      <c r="E23"/>
      <c r="F23" s="1" t="e">
        <f>'1차년도_250520'!G32</f>
      </c>
      <c r="J23" s="2" t="e">
        <f>SUM(F23:I23)</f>
      </c>
    </row>
    <row r="24" ht="17.5" customHeight="1">
      <c r="B24"/>
      <c r="C24" t="str">
        <v>위탁연구개발비</v>
      </c>
      <c r="D24"/>
      <c r="E24" t="str">
        <v>현금 (J)</v>
      </c>
      <c r="F24" s="1" t="e">
        <f>'1차년도_250520'!G33</f>
      </c>
      <c r="J24" s="1" t="e">
        <f>SUM(F24:I24)</f>
      </c>
    </row>
    <row r="25" ht="17.5" customHeight="1">
      <c r="B25"/>
      <c r="C25"/>
      <c r="D25"/>
      <c r="E25" t="str">
        <v>현물</v>
      </c>
      <c r="F25" s="1" t="e">
        <f>'1차년도_250520'!G34</f>
      </c>
      <c r="J25" s="1" t="e">
        <f>SUM(F25:I25)</f>
      </c>
    </row>
    <row r="26" ht="17.5" customHeight="1">
      <c r="B26"/>
      <c r="C26"/>
      <c r="D26"/>
      <c r="E26"/>
      <c r="F26" s="1" t="e">
        <f>'1차년도_250520'!G35</f>
      </c>
      <c r="J26" s="1" t="e">
        <f>SUM(F26:I26)</f>
      </c>
    </row>
    <row r="27" ht="17.5" customHeight="1">
      <c r="B27" t="str">
        <v>간접비 (L)</v>
      </c>
      <c r="C27"/>
      <c r="D27"/>
      <c r="E27"/>
      <c r="F27" s="1" t="e">
        <f>'1차년도_250520'!G36</f>
      </c>
      <c r="J27" s="1" t="e">
        <f>SUM(F27:I27)</f>
      </c>
    </row>
    <row r="28" ht="17.5" customHeight="1">
      <c r="B28" t="str">
        <v>* 간접비 비율4) (L/(N+O+P+D+R+S+T+U))</v>
      </c>
      <c r="C28"/>
      <c r="D28"/>
      <c r="E28"/>
      <c r="F28" s="3" t="e">
        <f>'1차년도_250520'!G37</f>
      </c>
      <c r="J28" s="3" t="e">
        <f>SUM(F28:I28)</f>
      </c>
    </row>
    <row r="29" ht="18" customHeight="1">
      <c r="B29" t="str">
        <v>(간접비 중 연구실 안전관리비)</v>
      </c>
      <c r="C29"/>
      <c r="D29"/>
      <c r="E29"/>
      <c r="F29" s="1" t="e">
        <f>'1차년도_250520'!G38</f>
      </c>
      <c r="J29" s="1" t="e">
        <f>SUM(F29:I29)</f>
      </c>
    </row>
    <row r="30" ht="18" customHeight="1">
      <c r="B30" t="str">
        <v>연구개발비 총액 (M=K+L)</v>
      </c>
      <c r="C30"/>
      <c r="D30"/>
      <c r="E30"/>
      <c r="F30" s="1" t="e">
        <f>'1차년도_250520'!G39</f>
      </c>
      <c r="J30" s="1" t="e">
        <f>SUM(F30:I30)</f>
      </c>
    </row>
  </sheetData>
  <mergeCells count="27">
    <mergeCell ref="C19:D20"/>
    <mergeCell ref="F2:F3"/>
    <mergeCell ref="G2:G3"/>
    <mergeCell ref="H2:H3"/>
    <mergeCell ref="B30:E30"/>
    <mergeCell ref="C23:E23"/>
    <mergeCell ref="C24:D25"/>
    <mergeCell ref="C26:E26"/>
    <mergeCell ref="B27:E27"/>
    <mergeCell ref="B28:E28"/>
    <mergeCell ref="B29:E29"/>
    <mergeCell ref="I2:I3"/>
    <mergeCell ref="C21:D22"/>
    <mergeCell ref="B2:B3"/>
    <mergeCell ref="C2:E3"/>
    <mergeCell ref="J2:J3"/>
    <mergeCell ref="B4:B26"/>
    <mergeCell ref="C4:C9"/>
    <mergeCell ref="D4:D5"/>
    <mergeCell ref="D6:D7"/>
    <mergeCell ref="D8:D9"/>
    <mergeCell ref="C10:D11"/>
    <mergeCell ref="C12:E12"/>
    <mergeCell ref="C13:E13"/>
    <mergeCell ref="C14:D15"/>
    <mergeCell ref="C16:E16"/>
    <mergeCell ref="C17:D18"/>
  </mergeCells>
  <pageMargins left="0.7" right="0.7" top="0.75" bottom="0.75" header="0.3" footer="0.3"/>
  <ignoredErrors>
    <ignoredError numberStoredAsText="1" sqref="B1:J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B1:S287"/>
  <sheetViews>
    <sheetView workbookViewId="0" rightToLeft="0"/>
  </sheetViews>
  <cols>
    <col min="1" max="1" customWidth="1" width="3.58203125"/>
    <col min="2" max="2" customWidth="1" width="3.08203125"/>
    <col min="3" max="3" customWidth="1" width="28.83203125"/>
    <col min="4" max="4" customWidth="1" width="23.5"/>
    <col min="5" max="5" customWidth="1" width="15.83203125"/>
    <col min="6" max="6" customWidth="1" width="18.08203125"/>
    <col min="7" max="7" customWidth="1" width="19.08203125"/>
    <col min="8" max="8" customWidth="1" width="18.08203125"/>
    <col min="9" max="9" customWidth="1" width="14.58203125"/>
    <col min="10" max="10" customWidth="1" width="15.58203125"/>
    <col min="11" max="11" customWidth="1" width="15.58203125"/>
    <col min="12" max="12" customWidth="1" width="17.58203125"/>
    <col min="13" max="13" customWidth="1" width="13.33203125"/>
    <col min="14" max="14" customWidth="1" width="19.08203125"/>
    <col min="15" max="15" customWidth="1" width="14.5"/>
    <col min="16" max="16" customWidth="1" width="16.25"/>
    <col min="17" max="17" customWidth="1" width="13.25"/>
    <col min="18" max="18" customWidth="1" width="12"/>
  </cols>
  <sheetData>
    <row r="1" ht="17.5" customHeight="1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</row>
    <row r="2" ht="17.5" customHeight="1">
      <c r="B2"/>
      <c r="C2" t="str">
        <v>1차년도 연구비 총괄표</v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</row>
    <row r="3" ht="18" customHeight="1">
      <c r="B3"/>
      <c r="C3"/>
      <c r="D3"/>
      <c r="E3" s="3"/>
      <c r="F3" s="3"/>
      <c r="G3"/>
      <c r="H3" s="3"/>
      <c r="I3" s="3"/>
      <c r="J3"/>
      <c r="K3"/>
      <c r="L3"/>
      <c r="M3"/>
      <c r="N3"/>
      <c r="O3"/>
      <c r="P3"/>
      <c r="Q3"/>
      <c r="R3"/>
    </row>
    <row r="4" ht="21" customHeight="1">
      <c r="B4"/>
      <c r="C4" t="str">
        <v>구분</v>
      </c>
      <c r="D4" t="str">
        <v>정부출연금</v>
      </c>
      <c r="E4"/>
      <c r="F4" t="str">
        <v>기관부담금</v>
      </c>
      <c r="G4"/>
      <c r="H4"/>
      <c r="I4"/>
      <c r="J4"/>
      <c r="K4"/>
      <c r="L4" t="str">
        <v>사업비 합계</v>
      </c>
      <c r="M4"/>
      <c r="N4"/>
      <c r="O4"/>
      <c r="P4"/>
      <c r="Q4"/>
      <c r="R4"/>
    </row>
    <row r="5" ht="16.5" customHeight="1">
      <c r="B5"/>
      <c r="C5"/>
      <c r="D5"/>
      <c r="E5"/>
      <c r="F5" t="str">
        <v>현금</v>
      </c>
      <c r="G5"/>
      <c r="H5" t="str">
        <v>현물</v>
      </c>
      <c r="I5"/>
      <c r="J5" t="str">
        <v>현금+현물</v>
      </c>
      <c r="K5"/>
      <c r="L5"/>
      <c r="M5"/>
      <c r="N5"/>
      <c r="O5" s="3"/>
      <c r="P5"/>
      <c r="Q5"/>
      <c r="R5"/>
    </row>
    <row r="6" ht="17.5" customHeight="1">
      <c r="B6"/>
      <c r="C6"/>
      <c r="D6"/>
      <c r="E6"/>
      <c r="F6"/>
      <c r="G6"/>
      <c r="H6"/>
      <c r="I6"/>
      <c r="J6"/>
      <c r="K6"/>
      <c r="L6"/>
      <c r="M6"/>
      <c r="N6"/>
      <c r="O6" s="4"/>
      <c r="P6"/>
      <c r="Q6"/>
      <c r="R6"/>
    </row>
    <row r="7" ht="41.25" customHeight="1">
      <c r="B7"/>
      <c r="C7"/>
      <c r="M7" s="5"/>
      <c r="N7" s="5"/>
      <c r="O7" s="5"/>
      <c r="P7" s="5"/>
      <c r="Q7" s="5"/>
      <c r="R7"/>
    </row>
    <row r="8" ht="17.5" customHeight="1">
      <c r="B8"/>
      <c r="C8"/>
      <c r="D8"/>
      <c r="E8"/>
      <c r="F8"/>
      <c r="G8"/>
      <c r="H8"/>
      <c r="I8"/>
      <c r="J8"/>
      <c r="K8"/>
      <c r="L8" s="5"/>
      <c r="M8"/>
      <c r="N8"/>
      <c r="O8"/>
      <c r="P8"/>
      <c r="Q8"/>
      <c r="R8"/>
    </row>
    <row r="9" ht="17.5" customHeight="1"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</row>
    <row r="10" ht="18" customHeight="1">
      <c r="B10"/>
      <c r="C10" t="str">
        <v># 사업비 총괄</v>
      </c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</row>
    <row r="11" ht="17.5" customHeight="1">
      <c r="B11"/>
      <c r="C11" t="str">
        <v>비목</v>
      </c>
      <c r="D11" t="str">
        <v xml:space="preserve">세목 </v>
      </c>
      <c r="E11"/>
      <c r="F11"/>
      <c r="G11" t="str">
        <v>1차년도</v>
      </c>
      <c r="H11" t="str">
        <v>합계</v>
      </c>
      <c r="I11"/>
      <c r="J11"/>
      <c r="K11"/>
      <c r="L11"/>
      <c r="M11"/>
      <c r="N11"/>
      <c r="O11"/>
      <c r="P11"/>
      <c r="Q11"/>
      <c r="R11"/>
      <c r="S11"/>
    </row>
    <row r="12" ht="17.5" customHeight="1"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</row>
    <row r="13" ht="17.5" customHeight="1">
      <c r="B13"/>
      <c r="C13"/>
      <c r="D13" t="str">
        <v>인건비</v>
      </c>
      <c r="E13" t="str">
        <v>내부인건비 (A)</v>
      </c>
      <c r="F13" t="str">
        <v>현금 (N)</v>
      </c>
      <c r="G13" s="1" t="e">
        <f>J92</f>
      </c>
      <c r="H13" s="1" t="e">
        <f>SUM(C13:G13)</f>
      </c>
      <c r="I13" s="1"/>
      <c r="J13" s="1"/>
      <c r="K13" s="1"/>
      <c r="L13" s="1"/>
      <c r="M13"/>
      <c r="N13"/>
      <c r="O13"/>
      <c r="P13"/>
      <c r="Q13"/>
      <c r="R13"/>
      <c r="S13"/>
    </row>
    <row r="14" ht="17.5" customHeight="1">
      <c r="B14"/>
      <c r="C14"/>
      <c r="D14"/>
      <c r="E14"/>
      <c r="F14" t="str">
        <v>현물</v>
      </c>
      <c r="G14" s="1" t="e">
        <f>K92</f>
      </c>
      <c r="H14" s="1" t="e">
        <f>SUM(C14:G14)</f>
      </c>
      <c r="I14" s="1"/>
      <c r="J14" s="1"/>
      <c r="K14" s="1"/>
      <c r="L14" s="1"/>
      <c r="M14"/>
      <c r="N14"/>
      <c r="O14"/>
      <c r="P14"/>
      <c r="Q14"/>
      <c r="R14"/>
      <c r="S14"/>
    </row>
    <row r="15" ht="17.5" customHeight="1">
      <c r="B15"/>
      <c r="C15"/>
      <c r="D15"/>
      <c r="E15" t="str">
        <v>외부인건비 (B)</v>
      </c>
      <c r="F15" t="str">
        <v>현금 (O)</v>
      </c>
      <c r="G15" s="1"/>
      <c r="H15" s="1" t="e">
        <f>SUM(C15:G15)</f>
      </c>
      <c r="I15" s="1"/>
      <c r="J15" s="1"/>
      <c r="K15" s="1"/>
      <c r="L15" s="1"/>
      <c r="M15"/>
      <c r="N15"/>
      <c r="O15"/>
      <c r="P15"/>
      <c r="Q15"/>
      <c r="R15"/>
      <c r="S15"/>
    </row>
    <row r="16" ht="17.5" customHeight="1">
      <c r="B16"/>
      <c r="C16"/>
      <c r="D16"/>
      <c r="E16"/>
      <c r="F16" t="str">
        <v>현물</v>
      </c>
      <c r="G16" s="1"/>
      <c r="H16" s="1" t="e">
        <f>SUM(C16:G16)</f>
      </c>
      <c r="I16" s="1"/>
      <c r="J16" s="1"/>
      <c r="K16" s="1"/>
      <c r="L16" s="1"/>
      <c r="M16"/>
      <c r="N16"/>
      <c r="O16"/>
      <c r="P16"/>
      <c r="Q16"/>
      <c r="R16"/>
      <c r="S16"/>
    </row>
    <row r="17" ht="17.5" customHeight="1">
      <c r="B17"/>
      <c r="C17"/>
      <c r="D17"/>
      <c r="E17" t="str">
        <v>연구지원인력인건비 (C)</v>
      </c>
      <c r="F17" t="str">
        <v>현금 (P)</v>
      </c>
      <c r="G17" s="1"/>
      <c r="H17" s="1" t="e">
        <f>SUM(C17:G17)</f>
      </c>
      <c r="I17" s="1"/>
      <c r="J17" s="1"/>
      <c r="K17" s="1"/>
      <c r="L17" s="1"/>
      <c r="M17"/>
      <c r="N17"/>
      <c r="O17"/>
      <c r="P17"/>
      <c r="Q17"/>
      <c r="R17"/>
      <c r="S17"/>
    </row>
    <row r="18" ht="17.5" customHeight="1">
      <c r="B18"/>
      <c r="C18"/>
      <c r="D18"/>
      <c r="E18"/>
      <c r="F18" t="str">
        <v>현물</v>
      </c>
      <c r="G18" s="1"/>
      <c r="H18" s="1" t="e">
        <f>SUM(C18:G18)</f>
      </c>
      <c r="I18" s="1"/>
      <c r="J18" s="1"/>
      <c r="K18" s="1"/>
      <c r="L18" s="1"/>
      <c r="M18"/>
      <c r="N18"/>
      <c r="O18"/>
      <c r="P18"/>
      <c r="Q18"/>
      <c r="R18"/>
      <c r="S18"/>
    </row>
    <row r="19" ht="17.5" customHeight="1">
      <c r="B19"/>
      <c r="C19"/>
      <c r="D19" t="str">
        <v>학생 인건비 (D)</v>
      </c>
      <c r="E19"/>
      <c r="F19"/>
      <c r="G19" s="1"/>
      <c r="H19" s="1" t="e">
        <f>SUM(C19:G19)</f>
      </c>
      <c r="I19" s="1"/>
      <c r="J19" s="1"/>
      <c r="K19" s="1"/>
      <c r="L19" s="1"/>
      <c r="M19"/>
      <c r="N19"/>
      <c r="O19"/>
      <c r="P19"/>
      <c r="Q19"/>
      <c r="R19"/>
      <c r="S19"/>
    </row>
    <row r="20" ht="17.5" customHeight="1">
      <c r="B20"/>
      <c r="C20"/>
      <c r="D20"/>
      <c r="E20"/>
      <c r="F20"/>
      <c r="G20" s="1"/>
      <c r="H20" s="1" t="e">
        <f>SUM(C20:G20)</f>
      </c>
      <c r="I20" s="1"/>
      <c r="J20" s="1"/>
      <c r="K20" s="1"/>
      <c r="L20" s="1"/>
      <c r="M20"/>
      <c r="N20"/>
      <c r="O20"/>
      <c r="P20"/>
      <c r="Q20"/>
      <c r="R20"/>
      <c r="S20"/>
    </row>
    <row r="21" ht="17.5" customHeight="1">
      <c r="B21"/>
      <c r="C21"/>
      <c r="D21" t="str">
        <v>총 인건비1) (E=A+B+C+D)</v>
      </c>
      <c r="E21"/>
      <c r="F21"/>
      <c r="G21" s="1" t="e">
        <f>SUM(G13:G20)</f>
      </c>
      <c r="H21" s="1" t="e">
        <f>SUM(C21:G21)</f>
      </c>
      <c r="I21" s="1"/>
      <c r="J21" s="1"/>
      <c r="K21" s="1"/>
      <c r="L21" s="1"/>
      <c r="M21"/>
      <c r="N21"/>
      <c r="O21"/>
      <c r="P21"/>
      <c r="Q21"/>
      <c r="R21"/>
      <c r="S21"/>
    </row>
    <row r="22" ht="17.5" customHeight="1">
      <c r="B22"/>
      <c r="C22"/>
      <c r="D22" t="str">
        <v>수정인건비2) (E1=A+B+D)</v>
      </c>
      <c r="E22"/>
      <c r="F22"/>
      <c r="G22" s="1" t="e">
        <f>SUM(G13:G14,G15:G16,G19:G20)</f>
      </c>
      <c r="H22" s="1" t="e">
        <f>SUM(C22:G22)</f>
      </c>
      <c r="I22" s="1"/>
      <c r="J22" s="1"/>
      <c r="K22" s="1"/>
      <c r="L22" s="1"/>
      <c r="M22"/>
      <c r="N22"/>
      <c r="O22"/>
      <c r="P22"/>
      <c r="Q22"/>
      <c r="R22"/>
      <c r="S22"/>
    </row>
    <row r="23" ht="17.5" customHeight="1">
      <c r="B23"/>
      <c r="C23"/>
      <c r="D23" t="str">
        <v>연구시설‧장비비 (F)</v>
      </c>
      <c r="E23"/>
      <c r="F23" t="str">
        <v>현금 (R)</v>
      </c>
      <c r="G23" s="1" t="e">
        <f>L96</f>
      </c>
      <c r="H23" s="1" t="e">
        <f>SUM(C23:G23)</f>
      </c>
      <c r="I23" s="1"/>
      <c r="J23" s="1"/>
      <c r="K23" s="1"/>
      <c r="L23" s="1"/>
      <c r="M23"/>
      <c r="N23"/>
      <c r="O23"/>
      <c r="P23"/>
      <c r="Q23"/>
      <c r="R23"/>
      <c r="S23"/>
    </row>
    <row r="24" ht="17.5" customHeight="1">
      <c r="B24"/>
      <c r="C24"/>
      <c r="D24"/>
      <c r="E24"/>
      <c r="F24" t="str">
        <v>현물</v>
      </c>
      <c r="G24" s="1"/>
      <c r="H24" s="1" t="e">
        <f>SUM(C24:G24)</f>
      </c>
      <c r="I24" s="1"/>
      <c r="J24" s="1"/>
      <c r="K24" s="1"/>
      <c r="L24" s="1"/>
      <c r="M24"/>
      <c r="N24"/>
      <c r="O24"/>
      <c r="P24"/>
      <c r="Q24"/>
      <c r="R24"/>
      <c r="S24"/>
    </row>
    <row r="25" ht="17.5" customHeight="1">
      <c r="B25"/>
      <c r="C25"/>
      <c r="D25" t="str">
        <v>(연구시설‧장비비 중 통합관리비(현금))</v>
      </c>
      <c r="E25"/>
      <c r="F25"/>
      <c r="G25" s="1"/>
      <c r="H25" s="1" t="e">
        <f>SUM(C25:G25)</f>
      </c>
      <c r="I25" s="1"/>
      <c r="J25" s="1"/>
      <c r="K25" s="1"/>
      <c r="L25" s="1"/>
      <c r="M25"/>
      <c r="N25"/>
      <c r="O25"/>
      <c r="P25"/>
      <c r="Q25"/>
      <c r="R25"/>
      <c r="S25"/>
    </row>
    <row r="26" ht="17.5" customHeight="1">
      <c r="B26"/>
      <c r="C26"/>
      <c r="D26" t="str">
        <v>연구재료비 (G)</v>
      </c>
      <c r="E26"/>
      <c r="F26" t="str">
        <v>현금 (S)</v>
      </c>
      <c r="G26" s="1" t="e">
        <f>L126</f>
      </c>
      <c r="H26" s="1" t="e">
        <f>SUM(C26:G26)</f>
      </c>
      <c r="I26" s="1"/>
      <c r="J26" s="1"/>
      <c r="K26" s="1"/>
      <c r="L26" s="1"/>
      <c r="M26"/>
      <c r="N26"/>
      <c r="O26"/>
      <c r="P26"/>
      <c r="Q26"/>
      <c r="R26"/>
      <c r="S26"/>
    </row>
    <row r="27" ht="17.5" customHeight="1">
      <c r="B27"/>
      <c r="C27"/>
      <c r="D27"/>
      <c r="E27"/>
      <c r="F27" t="str">
        <v>현물</v>
      </c>
      <c r="G27" s="1"/>
      <c r="H27" s="1" t="e">
        <f>SUM(C27:G27)</f>
      </c>
      <c r="I27" s="1"/>
      <c r="J27" s="1"/>
      <c r="K27" s="1"/>
      <c r="L27" s="1"/>
      <c r="M27"/>
      <c r="N27"/>
      <c r="O27"/>
      <c r="P27"/>
      <c r="Q27"/>
      <c r="R27"/>
      <c r="S27"/>
    </row>
    <row r="28" ht="17.5" customHeight="1">
      <c r="B28"/>
      <c r="C28"/>
      <c r="D28" t="str">
        <v>연구활동비 (H)</v>
      </c>
      <c r="E28"/>
      <c r="F28" t="str">
        <v>현금 (T)</v>
      </c>
      <c r="G28" s="1" t="e">
        <f>L150</f>
      </c>
      <c r="H28" s="1" t="e">
        <f>SUM(C28:G28)</f>
      </c>
      <c r="I28" s="1"/>
      <c r="J28" s="1"/>
      <c r="K28" s="1"/>
      <c r="L28" s="1"/>
      <c r="M28"/>
      <c r="N28"/>
      <c r="O28"/>
      <c r="P28"/>
      <c r="Q28"/>
      <c r="R28"/>
      <c r="S28"/>
    </row>
    <row r="29" ht="17.5" customHeight="1">
      <c r="B29"/>
      <c r="C29"/>
      <c r="D29"/>
      <c r="E29"/>
      <c r="F29" t="str">
        <v>현물</v>
      </c>
      <c r="G29" s="1"/>
      <c r="H29" s="1" t="e">
        <f>SUM(C29:G29)</f>
      </c>
      <c r="I29" s="1"/>
      <c r="J29" s="1"/>
      <c r="K29" s="1"/>
      <c r="L29" s="1"/>
      <c r="M29"/>
      <c r="N29"/>
      <c r="O29"/>
      <c r="P29"/>
      <c r="Q29"/>
      <c r="R29"/>
      <c r="S29"/>
    </row>
    <row r="30" ht="17.5" customHeight="1">
      <c r="B30"/>
      <c r="C30"/>
      <c r="D30" t="str">
        <v>연구수당 (I)</v>
      </c>
      <c r="E30"/>
      <c r="F30" t="str">
        <v>현금 (U)</v>
      </c>
      <c r="G30" s="1" t="e">
        <f>L246</f>
      </c>
      <c r="H30" s="1" t="e">
        <f>SUM(C30:G30)</f>
      </c>
      <c r="I30" s="1"/>
      <c r="J30" s="1"/>
      <c r="K30" s="1"/>
      <c r="L30" s="1"/>
      <c r="M30"/>
      <c r="N30"/>
      <c r="O30"/>
      <c r="P30"/>
      <c r="Q30"/>
      <c r="R30"/>
      <c r="S30"/>
    </row>
    <row r="31" ht="17.5" customHeight="1">
      <c r="B31"/>
      <c r="C31"/>
      <c r="D31"/>
      <c r="E31"/>
      <c r="F31" t="str">
        <v>현물</v>
      </c>
      <c r="G31" s="1"/>
      <c r="H31" s="1" t="e">
        <f>SUM(C31:G31)</f>
      </c>
      <c r="I31" s="1"/>
      <c r="J31" s="1"/>
      <c r="K31" s="1"/>
      <c r="L31" s="1"/>
      <c r="M31"/>
      <c r="N31"/>
      <c r="O31"/>
      <c r="P31"/>
      <c r="Q31"/>
      <c r="R31"/>
      <c r="S31"/>
    </row>
    <row r="32" ht="17.5" customHeight="1">
      <c r="B32"/>
      <c r="C32"/>
      <c r="D32" t="str">
        <v>* 연구수당 비율3) (I/E1)</v>
      </c>
      <c r="E32"/>
      <c r="F32"/>
      <c r="G32" s="6" t="e">
        <f>G30/G22</f>
      </c>
      <c r="H32" s="1" t="e">
        <f>SUM(C32:G32)</f>
      </c>
      <c r="I32" s="1"/>
      <c r="J32" s="1"/>
      <c r="K32" s="1"/>
      <c r="L32" s="1"/>
      <c r="M32"/>
      <c r="N32"/>
      <c r="O32"/>
      <c r="P32"/>
      <c r="Q32"/>
      <c r="R32"/>
      <c r="S32"/>
    </row>
    <row r="33" ht="17.5" customHeight="1">
      <c r="B33"/>
      <c r="C33"/>
      <c r="D33" t="str">
        <v xml:space="preserve">국제공동연구개발비 </v>
      </c>
      <c r="E33"/>
      <c r="F33" t="str">
        <v>현금 (J)</v>
      </c>
      <c r="G33" s="1"/>
      <c r="H33" s="1" t="e">
        <f>SUM(C33:G33)</f>
      </c>
      <c r="I33" s="1"/>
      <c r="J33" s="1"/>
      <c r="K33" s="1"/>
      <c r="L33" s="1"/>
      <c r="M33"/>
      <c r="N33"/>
      <c r="O33"/>
      <c r="P33"/>
      <c r="Q33"/>
      <c r="R33"/>
      <c r="S33"/>
    </row>
    <row r="34" ht="17.5" customHeight="1">
      <c r="B34"/>
      <c r="C34"/>
      <c r="D34"/>
      <c r="E34"/>
      <c r="F34" t="str">
        <v>현물</v>
      </c>
      <c r="G34" s="1"/>
      <c r="H34" s="1" t="e">
        <f>SUM(C34:G34)</f>
      </c>
      <c r="I34" s="1"/>
      <c r="J34" s="1"/>
      <c r="K34" s="1"/>
      <c r="L34" s="1"/>
      <c r="M34"/>
      <c r="N34"/>
      <c r="O34"/>
      <c r="P34"/>
      <c r="Q34"/>
      <c r="R34"/>
      <c r="S34"/>
    </row>
    <row r="35" ht="17.5" customHeight="1">
      <c r="B35"/>
      <c r="C35"/>
      <c r="D35"/>
      <c r="E35"/>
      <c r="F35"/>
      <c r="G35" s="1" t="e">
        <f>SUM(G33:G34,G21,G23:G24,G26:G27,G28:G29,G30:G31)</f>
      </c>
      <c r="H35" s="1" t="e">
        <f>SUM(C35:G35)</f>
      </c>
      <c r="I35" s="1"/>
      <c r="J35" s="1"/>
      <c r="K35" s="1"/>
      <c r="L35" s="1"/>
      <c r="M35"/>
      <c r="N35"/>
      <c r="O35"/>
      <c r="P35"/>
      <c r="Q35"/>
      <c r="R35"/>
      <c r="S35"/>
    </row>
    <row r="36" ht="17.5" customHeight="1">
      <c r="B36"/>
      <c r="C36" t="str">
        <v>간접비 (L)</v>
      </c>
      <c r="D36"/>
      <c r="E36"/>
      <c r="F36"/>
      <c r="G36" s="1" t="e">
        <f>L263</f>
      </c>
      <c r="H36" s="1" t="e">
        <f>SUM(G36)</f>
      </c>
      <c r="I36" s="1"/>
      <c r="J36" s="1"/>
      <c r="K36" s="1"/>
      <c r="L36" s="1"/>
      <c r="M36"/>
      <c r="N36"/>
      <c r="O36"/>
      <c r="P36"/>
      <c r="Q36"/>
      <c r="R36"/>
      <c r="S36"/>
    </row>
    <row r="37" ht="18" customHeight="1">
      <c r="B37"/>
      <c r="C37" t="str">
        <v>* 간접비 비율4) (L/(N+O+P+D+R+S+T+U))</v>
      </c>
      <c r="D37"/>
      <c r="E37"/>
      <c r="F37"/>
      <c r="G37" s="2" t="e">
        <f>G36/(G13+G15+G17+G23+G26+G28+G30)</f>
      </c>
      <c r="H37" s="1" t="e">
        <f>SUM(C37:F37)</f>
      </c>
      <c r="I37" s="1"/>
      <c r="J37" s="1"/>
      <c r="K37" s="1"/>
      <c r="L37" s="1"/>
      <c r="M37"/>
      <c r="N37"/>
      <c r="O37"/>
      <c r="P37"/>
      <c r="Q37"/>
      <c r="R37"/>
      <c r="S37"/>
    </row>
    <row r="38" ht="17.5" customHeight="1">
      <c r="B38"/>
      <c r="C38" t="str">
        <v>(간접비 중 연구실 안전관리비)</v>
      </c>
      <c r="D38"/>
      <c r="E38"/>
      <c r="F38"/>
      <c r="G38" s="1"/>
      <c r="H38" s="1" t="e">
        <f>SUM(C38:F38)</f>
      </c>
      <c r="I38" s="1"/>
      <c r="J38"/>
      <c r="K38"/>
      <c r="L38" s="1"/>
      <c r="M38"/>
      <c r="N38"/>
      <c r="O38"/>
      <c r="P38"/>
      <c r="Q38"/>
      <c r="R38"/>
      <c r="S38"/>
    </row>
    <row r="39" ht="18" customHeight="1">
      <c r="B39"/>
      <c r="C39" t="str">
        <v>연구개발비 총액 (M=K+L)</v>
      </c>
      <c r="D39"/>
      <c r="E39"/>
      <c r="F39"/>
      <c r="G39" s="1" t="e">
        <f>SUM(G35,G36)</f>
      </c>
      <c r="H39" s="1" t="e">
        <f>SUM(H35,H36)</f>
      </c>
      <c r="I39" s="1"/>
      <c r="K39" s="5"/>
      <c r="L39" s="1"/>
      <c r="M39"/>
      <c r="N39" s="5"/>
      <c r="O39"/>
      <c r="P39"/>
      <c r="Q39"/>
      <c r="R39"/>
      <c r="S39"/>
    </row>
    <row r="40" ht="17.5" customHeight="1">
      <c r="B40"/>
      <c r="C40"/>
      <c r="D40"/>
      <c r="E40"/>
      <c r="F40"/>
      <c r="G40"/>
      <c r="H40"/>
      <c r="I40" s="1"/>
      <c r="J40"/>
      <c r="K40"/>
      <c r="L40"/>
      <c r="M40"/>
      <c r="N40"/>
      <c r="O40"/>
      <c r="P40"/>
      <c r="Q40"/>
      <c r="R40"/>
    </row>
    <row r="41" ht="17.5" customHeight="1">
      <c r="B41"/>
      <c r="C41"/>
      <c r="D41"/>
      <c r="E41"/>
      <c r="F41"/>
      <c r="G41"/>
      <c r="H41"/>
      <c r="I41" s="1"/>
      <c r="J41"/>
      <c r="K41"/>
      <c r="L41"/>
      <c r="M41"/>
      <c r="N41"/>
      <c r="O41"/>
      <c r="P41"/>
      <c r="Q41"/>
      <c r="R41"/>
    </row>
    <row r="42" ht="18" customHeight="1">
      <c r="B42"/>
      <c r="C42"/>
      <c r="D42"/>
      <c r="E42"/>
      <c r="F42"/>
      <c r="G42"/>
      <c r="H42"/>
      <c r="I42" s="1"/>
      <c r="J42"/>
      <c r="K42"/>
      <c r="L42"/>
      <c r="M42"/>
      <c r="N42"/>
      <c r="O42"/>
      <c r="P42"/>
      <c r="Q42"/>
      <c r="R42"/>
    </row>
    <row r="43" ht="20.25" customHeight="1">
      <c r="B43"/>
      <c r="C43" t="str">
        <v>구분</v>
      </c>
      <c r="D43"/>
      <c r="E43"/>
      <c r="F43"/>
      <c r="G43"/>
      <c r="H43"/>
      <c r="I43" t="str">
        <v>현금</v>
      </c>
      <c r="J43" t="str">
        <v>현물</v>
      </c>
      <c r="K43" t="str">
        <v>소계</v>
      </c>
      <c r="L43"/>
      <c r="M43"/>
      <c r="N43"/>
      <c r="O43"/>
      <c r="P43"/>
      <c r="Q43"/>
      <c r="R43"/>
    </row>
    <row r="44" ht="16.5" customHeight="1">
      <c r="B44"/>
      <c r="C44"/>
      <c r="D44"/>
      <c r="E44" t="str">
        <v>인건비</v>
      </c>
      <c r="F44" t="str">
        <v>내부인건비</v>
      </c>
      <c r="G44"/>
      <c r="H44"/>
      <c r="I44" s="1" t="e">
        <f>+J88</f>
      </c>
      <c r="J44" s="1" t="e">
        <f>K88</f>
      </c>
      <c r="K44" s="1" t="e">
        <f>I44+J44</f>
      </c>
      <c r="L44" s="1"/>
      <c r="M44"/>
      <c r="N44"/>
      <c r="O44"/>
      <c r="P44"/>
      <c r="Q44"/>
      <c r="R44"/>
    </row>
    <row r="45" ht="17.5" customHeight="1">
      <c r="B45"/>
      <c r="C45"/>
      <c r="D45"/>
      <c r="E45"/>
      <c r="F45"/>
      <c r="G45"/>
      <c r="H45"/>
      <c r="I45" s="1" t="e">
        <f>L91</f>
      </c>
      <c r="J45" s="1" t="e">
        <f>M91</f>
      </c>
      <c r="K45" s="1" t="e">
        <f>I45+J45</f>
      </c>
      <c r="L45"/>
      <c r="M45"/>
      <c r="N45"/>
      <c r="O45"/>
      <c r="P45"/>
      <c r="Q45"/>
      <c r="R45"/>
    </row>
    <row r="46" ht="15.75" customHeight="1">
      <c r="B46"/>
      <c r="C46"/>
      <c r="D46"/>
      <c r="E46" t="str">
        <v>연구시설장비비</v>
      </c>
      <c r="F46"/>
      <c r="G46"/>
      <c r="H46"/>
      <c r="I46" s="1" t="e">
        <f>L96</f>
      </c>
      <c r="J46" s="1"/>
      <c r="K46" s="1" t="e">
        <f>I46+J46</f>
      </c>
      <c r="L46"/>
      <c r="M46"/>
      <c r="N46"/>
      <c r="O46"/>
      <c r="P46"/>
      <c r="Q46"/>
      <c r="R46"/>
    </row>
    <row r="47" ht="16.5" customHeight="1">
      <c r="B47"/>
      <c r="C47"/>
      <c r="D47"/>
      <c r="E47"/>
      <c r="F47"/>
      <c r="G47"/>
      <c r="H47"/>
      <c r="I47" s="1" t="e">
        <f>L126</f>
      </c>
      <c r="J47" s="1"/>
      <c r="K47" s="1" t="e">
        <f>I47+J47</f>
      </c>
      <c r="L47"/>
      <c r="M47"/>
      <c r="N47"/>
      <c r="O47"/>
      <c r="P47"/>
      <c r="Q47"/>
      <c r="R47"/>
    </row>
    <row r="48" ht="17.5" customHeight="1">
      <c r="B48"/>
      <c r="C48"/>
      <c r="D48"/>
      <c r="E48" t="str">
        <v>연구활동비</v>
      </c>
      <c r="F48"/>
      <c r="G48"/>
      <c r="H48"/>
      <c r="I48" s="1" t="e">
        <f>L150</f>
      </c>
      <c r="J48" s="1"/>
      <c r="K48" s="1" t="e">
        <f>I48+J48</f>
      </c>
      <c r="L48"/>
      <c r="M48"/>
      <c r="N48"/>
      <c r="O48"/>
      <c r="P48"/>
      <c r="Q48"/>
      <c r="R48"/>
    </row>
    <row r="49" ht="17.5" customHeight="1">
      <c r="B49"/>
      <c r="C49"/>
      <c r="D49"/>
      <c r="E49" t="str">
        <v>연구수당</v>
      </c>
      <c r="F49"/>
      <c r="G49"/>
      <c r="H49"/>
      <c r="I49" s="1" t="e">
        <f>L246</f>
      </c>
      <c r="J49" s="1"/>
      <c r="K49" s="1" t="e">
        <f>I49+J49</f>
      </c>
      <c r="L49"/>
      <c r="M49"/>
      <c r="N49"/>
      <c r="O49"/>
      <c r="P49"/>
      <c r="Q49"/>
      <c r="R49"/>
    </row>
    <row r="50" ht="17.5" customHeight="1">
      <c r="B50"/>
      <c r="C50"/>
      <c r="D50"/>
      <c r="E50" t="str">
        <v>국제공동연구개발비</v>
      </c>
      <c r="F50"/>
      <c r="G50"/>
      <c r="H50"/>
      <c r="I50" s="1" t="e">
        <f>K259</f>
      </c>
      <c r="J50" s="1"/>
      <c r="K50" s="1" t="e">
        <f>I50+J50</f>
      </c>
      <c r="L50"/>
      <c r="M50"/>
      <c r="N50"/>
      <c r="O50"/>
      <c r="P50"/>
      <c r="Q50"/>
      <c r="R50"/>
    </row>
    <row r="51" ht="17.5" customHeight="1">
      <c r="B51"/>
      <c r="C51"/>
      <c r="D51"/>
      <c r="E51" t="str">
        <v>소계</v>
      </c>
      <c r="F51"/>
      <c r="G51"/>
      <c r="H51"/>
      <c r="I51" s="1" t="e">
        <f>SUM(I44:I50)</f>
      </c>
      <c r="J51" s="1" t="e">
        <f>SUM(J44:J50)</f>
      </c>
      <c r="K51" s="1" t="e">
        <f>SUM(K44:K50)</f>
      </c>
      <c r="L51"/>
      <c r="M51"/>
      <c r="N51"/>
      <c r="O51"/>
      <c r="P51"/>
      <c r="Q51"/>
      <c r="R51"/>
    </row>
    <row r="52" ht="17.5" customHeight="1">
      <c r="B52"/>
      <c r="C52"/>
      <c r="D52" t="str">
        <v>간접비</v>
      </c>
      <c r="E52" t="str">
        <v>인력지원비</v>
      </c>
      <c r="F52"/>
      <c r="G52"/>
      <c r="H52"/>
      <c r="I52" s="1"/>
      <c r="J52" s="1"/>
      <c r="K52" s="1"/>
      <c r="L52"/>
      <c r="M52"/>
      <c r="N52"/>
      <c r="O52"/>
      <c r="P52"/>
      <c r="Q52"/>
      <c r="R52"/>
    </row>
    <row r="53" ht="17.5" customHeight="1">
      <c r="B53"/>
      <c r="C53"/>
      <c r="D53"/>
      <c r="E53" t="str">
        <v>연구지원비</v>
      </c>
      <c r="F53"/>
      <c r="G53"/>
      <c r="H53"/>
      <c r="I53" s="1"/>
      <c r="J53" s="1"/>
      <c r="K53" s="1"/>
      <c r="L53"/>
      <c r="M53"/>
      <c r="N53"/>
      <c r="O53"/>
      <c r="P53"/>
      <c r="Q53"/>
      <c r="R53"/>
    </row>
    <row r="54" ht="18" customHeight="1">
      <c r="B54"/>
      <c r="C54"/>
      <c r="D54"/>
      <c r="E54" t="str">
        <v>성과활용지원비</v>
      </c>
      <c r="F54"/>
      <c r="G54"/>
      <c r="H54"/>
      <c r="I54" s="1" t="e">
        <f>L263</f>
      </c>
      <c r="J54" s="1"/>
      <c r="K54" s="1"/>
      <c r="L54"/>
      <c r="M54"/>
      <c r="N54"/>
      <c r="O54"/>
      <c r="P54"/>
      <c r="Q54"/>
      <c r="R54"/>
    </row>
    <row r="55" ht="17.5" customHeight="1">
      <c r="B55"/>
      <c r="C55"/>
      <c r="D55"/>
      <c r="E55" t="str">
        <v>소계</v>
      </c>
      <c r="F55"/>
      <c r="G55"/>
      <c r="H55"/>
      <c r="I55" s="1" t="e">
        <f>SUM(I52:I54)</f>
      </c>
      <c r="J55" s="1" t="e">
        <f>SUM(J52:J54)</f>
      </c>
      <c r="K55" s="1" t="e">
        <f>SUM(K52:K54)</f>
      </c>
      <c r="L55"/>
      <c r="M55"/>
      <c r="N55"/>
      <c r="O55"/>
      <c r="P55"/>
      <c r="Q55"/>
      <c r="R55"/>
    </row>
    <row r="56" ht="20.25" customHeight="1">
      <c r="B56"/>
      <c r="C56"/>
      <c r="D56"/>
      <c r="E56"/>
      <c r="F56"/>
      <c r="G56"/>
      <c r="H56"/>
      <c r="I56" s="1" t="e">
        <f>SUM(I51+I55)</f>
      </c>
      <c r="J56" s="1" t="e">
        <f>SUM(J51+J55)</f>
      </c>
      <c r="K56" s="1" t="e">
        <f>SUM(I56:J56)</f>
      </c>
      <c r="L56"/>
      <c r="N56"/>
      <c r="O56"/>
      <c r="P56"/>
      <c r="Q56"/>
      <c r="R56"/>
    </row>
    <row r="57" ht="18" customHeight="1"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</row>
    <row r="58" ht="17.5" customHeight="1"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</row>
    <row r="59">
      <c r="J59" s="5"/>
      <c r="O59"/>
      <c r="P59"/>
      <c r="Q59"/>
    </row>
    <row r="60" ht="17.5" customHeight="1">
      <c r="C60" t="str">
        <v>1. 직접비 소요명세</v>
      </c>
      <c r="D60" s="5"/>
      <c r="E60" s="3"/>
      <c r="F60" s="1"/>
      <c r="H60" s="5"/>
      <c r="J60" s="5"/>
      <c r="O60"/>
      <c r="P60"/>
    </row>
    <row r="61" ht="18" customHeight="1">
      <c r="C61" t="str">
        <v xml:space="preserve"> - 인건비 </v>
      </c>
      <c r="E61" s="3"/>
      <c r="F61" s="1"/>
      <c r="P61"/>
    </row>
    <row r="62" ht="33" customHeight="1" xml:space="preserve">
      <c r="C62" t="str">
        <v>인력구분</v>
      </c>
      <c r="D62" t="str">
        <v>성명</v>
      </c>
      <c r="E62" t="str">
        <v>직위</v>
      </c>
      <c r="F62" t="str" xml:space="preserve">
        <v xml:space="preserve">실지급액
(연봉)</v>
      </c>
      <c r="G62" t="str" xml:space="preserve">
        <v xml:space="preserve">실지급액-월
(연봉/12)</v>
      </c>
      <c r="H62" t="str" xml:space="preserve">
        <v xml:space="preserve">참여율
(%)</v>
      </c>
      <c r="I62" t="str" xml:space="preserve">
        <v xml:space="preserve">참여기간
(월)</v>
      </c>
      <c r="J62"/>
      <c r="K62"/>
      <c r="L62"/>
      <c r="M62"/>
      <c r="N62"/>
      <c r="P62"/>
    </row>
    <row r="63">
      <c r="C63"/>
      <c r="D63"/>
      <c r="E63"/>
      <c r="F63"/>
      <c r="G63"/>
      <c r="H63"/>
      <c r="I63"/>
      <c r="J63"/>
      <c r="K63"/>
      <c r="L63"/>
      <c r="M63"/>
      <c r="N63"/>
    </row>
    <row r="64" ht="17.5" customHeight="1">
      <c r="C64"/>
      <c r="D64"/>
      <c r="E64"/>
      <c r="F64"/>
      <c r="G64"/>
      <c r="H64"/>
      <c r="I64"/>
      <c r="J64" t="str">
        <v>현금</v>
      </c>
      <c r="K64" t="str">
        <v>현물</v>
      </c>
      <c r="L64" t="str">
        <v>계</v>
      </c>
      <c r="M64"/>
      <c r="N64"/>
    </row>
    <row r="65">
      <c r="C65"/>
      <c r="D65"/>
      <c r="E65"/>
      <c r="F65" s="1"/>
      <c r="G65" s="1" t="e">
        <f>F65/12</f>
      </c>
      <c r="H65" s="7"/>
      <c r="I65" s="8"/>
      <c r="J65" s="1" t="e">
        <f>TRUNC(G65*H65*I65,-3)</f>
      </c>
      <c r="K65" s="1"/>
      <c r="L65" s="1" t="e">
        <f>SUM(J65:K65)</f>
      </c>
      <c r="M65" s="1"/>
      <c r="N65" s="1"/>
    </row>
    <row r="66">
      <c r="C66"/>
      <c r="D66"/>
      <c r="E66"/>
      <c r="F66" s="1"/>
      <c r="G66" s="1" t="e">
        <f>F66/12</f>
      </c>
      <c r="H66" s="7"/>
      <c r="I66" s="8"/>
      <c r="J66" s="1" t="e">
        <f>TRUNC(G66*H66*I66,-3)</f>
      </c>
      <c r="K66" s="1"/>
      <c r="L66" s="1" t="e">
        <f>SUM(J66:K66)</f>
      </c>
      <c r="M66" s="1"/>
      <c r="N66" s="1"/>
      <c r="O66" s="5"/>
    </row>
    <row r="67">
      <c r="C67"/>
      <c r="D67"/>
      <c r="E67"/>
      <c r="F67" s="1"/>
      <c r="G67" s="1" t="e">
        <f>F67/12</f>
      </c>
      <c r="H67" s="7"/>
      <c r="I67" s="8"/>
      <c r="J67" s="1"/>
      <c r="K67" s="1" t="e">
        <f>TRUNC(G67*H67*I67,-3)</f>
      </c>
      <c r="L67" s="1" t="e">
        <f>SUM(J67:K67)</f>
      </c>
      <c r="M67" s="1"/>
      <c r="N67" s="1"/>
      <c r="O67" s="5"/>
    </row>
    <row r="68">
      <c r="C68"/>
      <c r="D68"/>
      <c r="E68"/>
      <c r="F68" s="1"/>
      <c r="G68" s="1" t="e">
        <f>F68/12</f>
      </c>
      <c r="H68" s="7"/>
      <c r="I68" s="8"/>
      <c r="J68" s="1" t="e">
        <f>TRUNC(G68*H68*I68,-3)</f>
      </c>
      <c r="K68" s="1"/>
      <c r="L68" s="1" t="e">
        <f>SUM(J68:K68)</f>
      </c>
      <c r="M68" s="5"/>
      <c r="N68" s="1"/>
      <c r="O68" s="5"/>
    </row>
    <row r="69">
      <c r="C69"/>
      <c r="D69"/>
      <c r="E69"/>
      <c r="F69" s="1"/>
      <c r="G69" s="1" t="e">
        <f>F69/12</f>
      </c>
      <c r="H69" s="7"/>
      <c r="I69" s="8"/>
      <c r="J69" s="1"/>
      <c r="K69" s="1" t="e">
        <f>TRUNC(G69*H69*I69,-3)-270000</f>
      </c>
      <c r="L69" s="1" t="e">
        <f>SUM(J69:K69)</f>
      </c>
      <c r="M69" s="5"/>
      <c r="N69" s="1"/>
      <c r="O69" s="5"/>
    </row>
    <row r="70">
      <c r="C70"/>
      <c r="D70"/>
      <c r="E70"/>
      <c r="F70" s="1"/>
      <c r="G70" s="1" t="e">
        <f>F70/12</f>
      </c>
      <c r="H70" s="7"/>
      <c r="I70" s="8"/>
      <c r="J70" s="1" t="e">
        <f>TRUNC(G70*H70*I70,-3)</f>
      </c>
      <c r="K70" s="1"/>
      <c r="L70" s="1" t="e">
        <f>SUM(J70:K70)</f>
      </c>
      <c r="M70" s="1"/>
      <c r="N70" s="1"/>
      <c r="O70" s="5"/>
    </row>
    <row r="71">
      <c r="C71"/>
      <c r="D71"/>
      <c r="E71"/>
      <c r="F71" s="1"/>
      <c r="G71" s="1" t="e">
        <f>F71/12</f>
      </c>
      <c r="H71" s="7"/>
      <c r="I71" s="8"/>
      <c r="J71" s="1"/>
      <c r="K71" s="1" t="e">
        <f>TRUNC(G71*H71*I71,-3)</f>
      </c>
      <c r="L71" s="1" t="e">
        <f>SUM(J71:K71)</f>
      </c>
      <c r="M71" s="5"/>
      <c r="N71" s="1"/>
      <c r="O71" s="5"/>
    </row>
    <row r="72">
      <c r="C72"/>
      <c r="D72"/>
      <c r="E72"/>
      <c r="F72" s="1"/>
      <c r="G72" s="1" t="e">
        <f>F72/12</f>
      </c>
      <c r="H72" s="7"/>
      <c r="I72" s="8"/>
      <c r="J72" s="1" t="e">
        <f>TRUNC(G72*H72*I72,-3)-30000</f>
      </c>
      <c r="K72" s="1"/>
      <c r="L72" s="1" t="e">
        <f>SUM(J72:K72)</f>
      </c>
      <c r="M72" s="5"/>
      <c r="N72" s="1"/>
      <c r="O72" s="5"/>
    </row>
    <row r="73">
      <c r="C73"/>
      <c r="D73"/>
      <c r="E73"/>
      <c r="F73" s="1"/>
      <c r="G73" s="1" t="e">
        <f>F73/12</f>
      </c>
      <c r="H73" s="7"/>
      <c r="I73" s="8"/>
      <c r="J73" s="1" t="e">
        <f>TRUNC(G73*H73*I73,-3)</f>
      </c>
      <c r="K73" s="1"/>
      <c r="L73" s="1" t="e">
        <f>SUM(J73:K73)</f>
      </c>
      <c r="M73" s="1"/>
      <c r="N73" s="1"/>
      <c r="O73" s="5"/>
    </row>
    <row r="74">
      <c r="C74"/>
      <c r="D74"/>
      <c r="E74"/>
      <c r="F74" s="1"/>
      <c r="G74" s="1" t="e">
        <f>F74/12</f>
      </c>
      <c r="H74" s="7"/>
      <c r="I74" s="8"/>
      <c r="J74" s="1" t="e">
        <f>TRUNC(G74*H74*I74,-3)-7000</f>
      </c>
      <c r="K74" s="1"/>
      <c r="L74" s="1" t="e">
        <f>SUM(J74:K74)</f>
      </c>
      <c r="M74" s="5"/>
      <c r="N74" s="1"/>
      <c r="O74" s="5"/>
    </row>
    <row r="75">
      <c r="C75"/>
      <c r="D75"/>
      <c r="E75"/>
      <c r="F75" s="1"/>
      <c r="G75" s="1" t="e">
        <f>F75/12</f>
      </c>
      <c r="H75" s="7"/>
      <c r="I75" s="8"/>
      <c r="J75" s="1" t="e">
        <f>TRUNC(G75*H75*I75,-3)</f>
      </c>
      <c r="K75" s="1"/>
      <c r="L75" s="1" t="e">
        <f>SUM(J75:K75)</f>
      </c>
      <c r="M75" s="1"/>
      <c r="N75" s="1"/>
      <c r="O75" s="5"/>
    </row>
    <row r="76">
      <c r="C76"/>
      <c r="D76"/>
      <c r="E76"/>
      <c r="F76" s="1"/>
      <c r="G76" s="1" t="e">
        <f>F76/12</f>
      </c>
      <c r="H76" s="7"/>
      <c r="I76" s="8"/>
      <c r="J76" s="1" t="e">
        <f>TRUNC(G76*H76*I76,-3)-6000</f>
      </c>
      <c r="K76" s="1"/>
      <c r="L76" s="1" t="e">
        <f>SUM(J76:K76)</f>
      </c>
      <c r="M76" s="5"/>
      <c r="N76" s="1"/>
      <c r="O76" s="5"/>
    </row>
    <row r="77">
      <c r="C77"/>
      <c r="D77"/>
      <c r="E77"/>
      <c r="F77" s="1"/>
      <c r="G77" s="1" t="e">
        <f>F77/12</f>
      </c>
      <c r="H77" s="7"/>
      <c r="I77" s="8"/>
      <c r="J77" s="1" t="e">
        <f>TRUNC(G77*H77*I77,-3)</f>
      </c>
      <c r="K77" s="1"/>
      <c r="L77" s="1" t="e">
        <f>SUM(J77:K77)</f>
      </c>
      <c r="M77" s="1"/>
      <c r="N77" s="1"/>
      <c r="O77" s="5"/>
    </row>
    <row r="78">
      <c r="C78"/>
      <c r="D78"/>
      <c r="E78"/>
      <c r="F78" s="1"/>
      <c r="G78" s="1" t="e">
        <f>F78/12</f>
      </c>
      <c r="H78" s="7"/>
      <c r="I78" s="8"/>
      <c r="J78" s="1" t="e">
        <f>TRUNC(G78*H78*I78,-3)-5000</f>
      </c>
      <c r="K78" s="1"/>
      <c r="L78" s="1" t="e">
        <f>SUM(J78:K78)</f>
      </c>
      <c r="M78" s="5"/>
      <c r="N78" s="1"/>
      <c r="O78" s="5"/>
    </row>
    <row r="79">
      <c r="C79"/>
      <c r="D79"/>
      <c r="E79"/>
      <c r="F79" s="1"/>
      <c r="G79" s="1" t="e">
        <f>F79/12</f>
      </c>
      <c r="H79" s="7"/>
      <c r="I79" s="8"/>
      <c r="J79" s="1" t="e">
        <f>TRUNC(G79*H79*I79,-3)-5000</f>
      </c>
      <c r="K79" s="1"/>
      <c r="L79" s="1" t="e">
        <f>SUM(J79:K79)</f>
      </c>
      <c r="M79" s="5"/>
      <c r="N79" s="1"/>
      <c r="O79" s="5"/>
    </row>
    <row r="80">
      <c r="C80"/>
      <c r="D80"/>
      <c r="E80"/>
      <c r="F80" s="1"/>
      <c r="G80" s="1" t="e">
        <f>F80/12</f>
      </c>
      <c r="H80" s="7"/>
      <c r="I80" s="8"/>
      <c r="J80" s="1" t="e">
        <f>TRUNC(G80*H80*I80,-3)</f>
      </c>
      <c r="K80" s="1"/>
      <c r="L80" s="1" t="e">
        <f>SUM(J80:K80)</f>
      </c>
      <c r="M80" s="1"/>
      <c r="N80" s="1"/>
      <c r="O80" s="5"/>
    </row>
    <row r="81">
      <c r="C81"/>
      <c r="D81"/>
      <c r="E81"/>
      <c r="F81" s="1"/>
      <c r="G81" s="1" t="e">
        <f>F81/12</f>
      </c>
      <c r="H81" s="7"/>
      <c r="I81" s="8"/>
      <c r="J81" s="1" t="e">
        <f>TRUNC(G81*H81*I81,-3)-5000</f>
      </c>
      <c r="K81" s="1"/>
      <c r="L81" s="1" t="e">
        <f>SUM(J81:K81)</f>
      </c>
      <c r="M81" s="5"/>
      <c r="N81" s="1"/>
      <c r="O81" s="5"/>
    </row>
    <row r="82">
      <c r="C82"/>
      <c r="D82"/>
      <c r="E82"/>
      <c r="F82" s="1"/>
      <c r="G82" s="1" t="e">
        <f>F82/12</f>
      </c>
      <c r="H82" s="7"/>
      <c r="I82" s="8"/>
      <c r="J82" s="1" t="e">
        <f>TRUNC(G82*H82*I82,-3)</f>
      </c>
      <c r="K82" s="1"/>
      <c r="L82" s="1" t="e">
        <f>SUM(J82:K82)</f>
      </c>
      <c r="M82" s="1"/>
      <c r="N82" s="1"/>
      <c r="O82" s="5"/>
    </row>
    <row r="83" hidden="1">
      <c r="C83"/>
      <c r="D83"/>
      <c r="E83"/>
      <c r="F83" s="1"/>
      <c r="G83" s="1" t="e">
        <f>F83/12</f>
      </c>
      <c r="H83" s="3"/>
      <c r="I83" s="8"/>
      <c r="J83" s="1" t="e">
        <f>TRUNC(G83*H83*I83,-3)</f>
      </c>
      <c r="K83" s="1" t="e">
        <f>TRUNC(G83*H83*I83,-3)</f>
      </c>
      <c r="L83" s="1" t="e">
        <f>SUM(J83:K83)</f>
      </c>
      <c r="M83" s="1"/>
      <c r="N83" s="1"/>
      <c r="O83" s="5"/>
    </row>
    <row r="84" hidden="1">
      <c r="C84"/>
      <c r="D84"/>
      <c r="E84"/>
      <c r="F84"/>
      <c r="G84" s="1" t="e">
        <f>F84/12</f>
      </c>
      <c r="H84" s="3"/>
      <c r="I84" s="8"/>
      <c r="J84" s="1" t="e">
        <f>TRUNC(G84*H84*I84,-3)</f>
      </c>
      <c r="K84" s="1" t="e">
        <f>TRUNC(G84*H84*I84,-3)</f>
      </c>
      <c r="L84" s="1" t="e">
        <f>SUM(J84:K84)</f>
      </c>
      <c r="M84" s="1"/>
      <c r="N84" s="1"/>
      <c r="O84" s="5"/>
    </row>
    <row r="85" hidden="1">
      <c r="C85"/>
      <c r="D85"/>
      <c r="E85"/>
      <c r="F85"/>
      <c r="G85" s="1" t="e">
        <f>F85/12</f>
      </c>
      <c r="H85" s="3"/>
      <c r="I85" s="8"/>
      <c r="J85" s="1" t="e">
        <f>TRUNC(G85*H85*I85,-3)</f>
      </c>
      <c r="K85" s="1" t="e">
        <f>TRUNC(G85*H85*I85,-3)</f>
      </c>
      <c r="L85" s="1" t="e">
        <f>SUM(J85:K85)</f>
      </c>
      <c r="M85" s="1"/>
      <c r="N85" s="1"/>
      <c r="O85" s="5"/>
    </row>
    <row r="86" hidden="1">
      <c r="C86"/>
      <c r="D86"/>
      <c r="E86"/>
      <c r="F86"/>
      <c r="G86" s="1" t="e">
        <f>F86/12</f>
      </c>
      <c r="H86" s="3"/>
      <c r="I86" s="8"/>
      <c r="J86" s="1" t="e">
        <f>TRUNC(G86*H86*I86,-3)</f>
      </c>
      <c r="K86" s="1" t="e">
        <f>TRUNC(G86*H86*I86,-3)</f>
      </c>
      <c r="L86" s="1" t="e">
        <f>SUM(J86:K86)</f>
      </c>
      <c r="M86" s="1"/>
      <c r="N86" s="1"/>
      <c r="O86" s="5"/>
    </row>
    <row r="87" hidden="1">
      <c r="C87"/>
      <c r="D87"/>
      <c r="E87"/>
      <c r="F87"/>
      <c r="G87" s="1" t="e">
        <f>F87/12</f>
      </c>
      <c r="H87" s="3"/>
      <c r="I87" s="8"/>
      <c r="J87" s="1" t="e">
        <f>TRUNC(G87*H87*I87,-3)</f>
      </c>
      <c r="K87" s="1"/>
      <c r="L87" s="1" t="e">
        <f>SUM(J87:K87)</f>
      </c>
      <c r="M87" s="1"/>
      <c r="N87" s="1"/>
      <c r="O87" s="5"/>
    </row>
    <row r="88">
      <c r="C88" t="str">
        <v>합계</v>
      </c>
      <c r="D88"/>
      <c r="E88"/>
      <c r="F88"/>
      <c r="G88"/>
      <c r="H88"/>
      <c r="I88"/>
      <c r="J88" s="1" t="e">
        <f>SUM(J65:J87)</f>
      </c>
      <c r="K88" s="1" t="e">
        <f>SUM(K65:K87)</f>
      </c>
      <c r="L88" s="1" t="e">
        <f>SUM(L65:L87)</f>
      </c>
      <c r="M88" s="1"/>
      <c r="N88" s="1"/>
      <c r="O88" s="1"/>
      <c r="P88" s="1"/>
    </row>
    <row r="89" ht="17.5" customHeight="1">
      <c r="C89"/>
      <c r="D89"/>
      <c r="E89"/>
      <c r="F89" s="1"/>
      <c r="G89" s="1" t="e">
        <f>F89/12</f>
      </c>
      <c r="H89" s="7"/>
      <c r="I89" s="8"/>
      <c r="J89" s="1" t="e">
        <f>TRUNC(G89*H89*I89,-3)</f>
      </c>
      <c r="K89"/>
      <c r="L89" s="1" t="e">
        <f>TRUNC(G89*H89*I89,0)</f>
      </c>
      <c r="M89" s="1"/>
      <c r="N89" s="1"/>
      <c r="O89" s="1"/>
      <c r="P89" s="1"/>
    </row>
    <row r="90" hidden="1" ht="17.25" customHeight="1">
      <c r="C90"/>
      <c r="D90"/>
      <c r="E90"/>
      <c r="F90" s="1"/>
      <c r="G90" s="1" t="e">
        <f>F90/12</f>
      </c>
      <c r="H90" s="7"/>
      <c r="I90" s="8"/>
      <c r="J90" s="1" t="e">
        <f>TRUNC(G90*H90*I90,-3)</f>
      </c>
      <c r="K90"/>
      <c r="L90" s="1" t="e">
        <f>TRUNC(I90*J90*K90,0)</f>
      </c>
      <c r="M90" s="1"/>
      <c r="N90" s="1"/>
    </row>
    <row r="91">
      <c r="C91" t="str">
        <v>합계</v>
      </c>
      <c r="D91"/>
      <c r="E91"/>
      <c r="F91"/>
      <c r="G91"/>
      <c r="H91"/>
      <c r="I91"/>
      <c r="J91" s="1" t="e">
        <f>SUM(J89:J90)</f>
      </c>
      <c r="K91" s="1" t="e">
        <f>SUM(K89:K90)</f>
      </c>
      <c r="L91" s="1" t="e">
        <f>SUM(L89:L90)</f>
      </c>
      <c r="M91" s="1"/>
      <c r="N91" t="str">
        <v>인건비 현금비율</v>
      </c>
      <c r="O91"/>
      <c r="P91"/>
      <c r="Q91"/>
    </row>
    <row r="92" ht="17.5" customHeight="1">
      <c r="C92" t="str">
        <v>소 계</v>
      </c>
      <c r="D92"/>
      <c r="E92"/>
      <c r="F92"/>
      <c r="G92"/>
      <c r="H92"/>
      <c r="I92"/>
      <c r="J92" s="1" t="e">
        <f>SUM(J88,J91)</f>
      </c>
      <c r="K92" s="1" t="e">
        <f>SUM(K88,K91)</f>
      </c>
      <c r="L92" s="1" t="e">
        <f>L88+L91</f>
      </c>
      <c r="M92" s="1"/>
      <c r="O92" s="7"/>
      <c r="P92" s="7"/>
      <c r="Q92" s="7"/>
      <c r="R92" s="5"/>
    </row>
    <row r="93" ht="17.5" customHeight="1">
      <c r="J93" s="1"/>
      <c r="K93" s="1"/>
      <c r="L93" s="5"/>
    </row>
    <row r="94" hidden="1">
      <c r="K94" s="1"/>
      <c r="N94" s="1"/>
    </row>
    <row r="95" hidden="1" ht="17.5" customHeight="1">
      <c r="G95"/>
      <c r="K95" s="1"/>
    </row>
    <row r="96" ht="18" customHeight="1">
      <c r="C96" t="str">
        <v>다. 연구시설·장비비</v>
      </c>
      <c r="K96" t="str">
        <v>합계</v>
      </c>
      <c r="L96" s="1" t="e">
        <f>SUM(K102,K109,K116,K123)</f>
      </c>
    </row>
    <row r="97" hidden="1" ht="17.5" customHeight="1">
      <c r="C97" t="str">
        <v>① 연구시설·장비 구입·설치비</v>
      </c>
      <c r="L97"/>
    </row>
    <row r="98" hidden="1">
      <c r="C98" t="str">
        <v>구분</v>
      </c>
      <c r="D98" t="str">
        <v>품명</v>
      </c>
      <c r="E98" t="str">
        <v>규격</v>
      </c>
      <c r="F98" t="str">
        <v>단위</v>
      </c>
      <c r="G98" t="str">
        <v>수량</v>
      </c>
      <c r="H98" t="str">
        <v>단가</v>
      </c>
      <c r="I98" t="str">
        <v>총액(원)_현금</v>
      </c>
      <c r="J98" t="str">
        <v>총액(원)_현물</v>
      </c>
      <c r="K98" t="str">
        <v>총액(원)_합계</v>
      </c>
      <c r="L98" t="str">
        <v>비고</v>
      </c>
    </row>
    <row r="99" hidden="1">
      <c r="C99" s="9"/>
      <c r="D99" s="9"/>
      <c r="E99" s="9"/>
      <c r="F99" s="9"/>
      <c r="G99"/>
      <c r="H99" s="5"/>
      <c r="I99" s="1" t="e">
        <f>G99*H99</f>
      </c>
      <c r="J99" s="1"/>
      <c r="K99" s="1" t="e">
        <f>I99+J99</f>
      </c>
      <c r="L99"/>
    </row>
    <row r="100" hidden="1">
      <c r="C100" s="9"/>
      <c r="D100" s="9"/>
      <c r="E100" s="9"/>
      <c r="F100" s="9"/>
      <c r="G100"/>
      <c r="H100" s="5"/>
      <c r="I100" s="1" t="e">
        <f>G100*H100</f>
      </c>
      <c r="J100" s="1"/>
      <c r="K100" s="1" t="e">
        <f>I100+J100</f>
      </c>
      <c r="L100"/>
    </row>
    <row r="101" hidden="1" ht="17.5" customHeight="1">
      <c r="C101" s="9"/>
      <c r="D101" s="9"/>
      <c r="E101" s="9"/>
      <c r="F101" s="9"/>
      <c r="G101"/>
      <c r="H101" s="5"/>
      <c r="I101" s="1"/>
      <c r="J101" s="1"/>
      <c r="K101" s="1" t="e">
        <f>I101+J101</f>
      </c>
      <c r="L101"/>
    </row>
    <row r="102" hidden="1" ht="17.5" customHeight="1">
      <c r="C102" s="9" t="str">
        <v>소계</v>
      </c>
      <c r="D102" s="9"/>
      <c r="E102" s="9"/>
      <c r="F102" s="9"/>
      <c r="G102"/>
      <c r="H102" s="9"/>
      <c r="I102" s="1" t="e">
        <f>SUM(I99:I101)</f>
      </c>
      <c r="J102" s="1" t="e">
        <f>SUM(J99:J101)</f>
      </c>
      <c r="K102" s="1" t="e">
        <f>SUM(K99:K101)</f>
      </c>
      <c r="L102"/>
    </row>
    <row r="103" hidden="1" ht="17.5" customHeight="1">
      <c r="C103"/>
    </row>
    <row r="104" hidden="1" ht="18" customHeight="1">
      <c r="C104" t="str">
        <v>② 연구시설 장비 임차비</v>
      </c>
      <c r="L104"/>
    </row>
    <row r="105" hidden="1">
      <c r="C105" t="str">
        <v>구분</v>
      </c>
      <c r="D105" t="str">
        <v>품명</v>
      </c>
      <c r="E105" t="str">
        <v>규격</v>
      </c>
      <c r="F105" t="str">
        <v>단위</v>
      </c>
      <c r="G105" t="str">
        <v>수량</v>
      </c>
      <c r="H105" t="str">
        <v>단가</v>
      </c>
      <c r="I105" t="str">
        <v>총액(원)_현금</v>
      </c>
      <c r="J105" t="str">
        <v>총액(원)_현물</v>
      </c>
      <c r="K105" t="str">
        <v>총액(원)_합계</v>
      </c>
      <c r="L105" t="str">
        <v>비고</v>
      </c>
    </row>
    <row r="106" hidden="1">
      <c r="C106" s="9"/>
      <c r="D106" s="9"/>
      <c r="E106" s="9"/>
      <c r="F106" s="9"/>
      <c r="G106"/>
      <c r="H106" s="5"/>
      <c r="I106" s="1" t="e">
        <f>ROUND(G106*H106,0)</f>
      </c>
      <c r="J106" s="1"/>
      <c r="K106" s="1" t="e">
        <f>I106+J106</f>
      </c>
      <c r="L106"/>
    </row>
    <row r="107" hidden="1">
      <c r="C107" s="9"/>
      <c r="D107" s="9"/>
      <c r="E107" s="9"/>
      <c r="F107" s="9"/>
      <c r="G107"/>
      <c r="H107" s="5"/>
      <c r="I107" s="1" t="e">
        <f>ROUND(G107*H107,0)</f>
      </c>
      <c r="J107" s="1"/>
      <c r="K107" s="1" t="e">
        <f>I107+J107</f>
      </c>
      <c r="L107"/>
    </row>
    <row r="108" hidden="1" ht="17.5" customHeight="1">
      <c r="C108" s="9"/>
      <c r="D108" s="9"/>
      <c r="E108" s="9"/>
      <c r="F108" s="9"/>
      <c r="G108"/>
      <c r="H108" s="5"/>
      <c r="I108" s="1" t="e">
        <f>ROUND(G108*H108,0)</f>
      </c>
      <c r="J108" s="1"/>
      <c r="K108" s="1" t="e">
        <f>I108+J108</f>
      </c>
      <c r="L108"/>
    </row>
    <row r="109" hidden="1" ht="17.5" customHeight="1">
      <c r="C109" s="9" t="str">
        <v>소계</v>
      </c>
      <c r="D109" s="9"/>
      <c r="E109" s="9"/>
      <c r="F109" s="9"/>
      <c r="G109"/>
      <c r="H109" s="9"/>
      <c r="I109" s="1" t="e">
        <f>SUM(I106:I108)</f>
      </c>
      <c r="J109" s="1" t="e">
        <f>SUM(J106:J108)</f>
      </c>
      <c r="K109" s="1" t="e">
        <f>SUM(K106:K108)</f>
      </c>
      <c r="L109"/>
    </row>
    <row r="110" hidden="1" ht="17.5" customHeight="1">
      <c r="C110"/>
    </row>
    <row r="111" hidden="1" ht="18" customHeight="1">
      <c r="C111" t="str">
        <v>③ 연구시설 장비 운영 유지비</v>
      </c>
      <c r="L111"/>
    </row>
    <row r="112" hidden="1">
      <c r="C112" t="str">
        <v>구분</v>
      </c>
      <c r="D112" t="str">
        <v>품명</v>
      </c>
      <c r="E112" t="str">
        <v>규격</v>
      </c>
      <c r="F112" t="str">
        <v>단위</v>
      </c>
      <c r="G112" t="str">
        <v>수량</v>
      </c>
      <c r="H112" t="str">
        <v>단가</v>
      </c>
      <c r="I112" t="str">
        <v>총액(원)_현금</v>
      </c>
      <c r="J112" t="str">
        <v>총액(원)_현물</v>
      </c>
      <c r="K112" t="str">
        <v>총액(원)_합계</v>
      </c>
      <c r="L112" t="str">
        <v>비고</v>
      </c>
    </row>
    <row r="113" hidden="1">
      <c r="C113" s="9"/>
      <c r="D113" s="9"/>
      <c r="E113" s="9"/>
      <c r="F113" s="9"/>
      <c r="G113"/>
      <c r="H113" s="5"/>
      <c r="I113" s="1" t="e">
        <f>ROUND(G113*H113,0)</f>
      </c>
      <c r="J113" s="1"/>
      <c r="K113" s="1" t="e">
        <f>I113+J113</f>
      </c>
      <c r="L113"/>
    </row>
    <row r="114" hidden="1">
      <c r="C114" s="9"/>
      <c r="D114" s="9"/>
      <c r="E114" s="9"/>
      <c r="F114" s="9"/>
      <c r="G114"/>
      <c r="H114" s="5"/>
      <c r="I114" s="1" t="e">
        <f>ROUND(G114*H114,0)</f>
      </c>
      <c r="J114" s="1"/>
      <c r="K114" s="1" t="e">
        <f>I114+J114</f>
      </c>
      <c r="L114"/>
    </row>
    <row r="115" hidden="1" ht="17.5" customHeight="1">
      <c r="C115" s="9"/>
      <c r="D115" s="9"/>
      <c r="E115" s="9"/>
      <c r="F115" s="9"/>
      <c r="G115"/>
      <c r="H115" s="5"/>
      <c r="I115" s="1" t="e">
        <f>ROUND(G115*H115,0)</f>
      </c>
      <c r="J115" s="1"/>
      <c r="K115" s="1" t="e">
        <f>I115+J115</f>
      </c>
      <c r="L115"/>
    </row>
    <row r="116" hidden="1" ht="17.5" customHeight="1">
      <c r="C116" s="9" t="str">
        <v>소계</v>
      </c>
      <c r="D116" s="9"/>
      <c r="E116" s="9"/>
      <c r="F116" s="9"/>
      <c r="G116"/>
      <c r="H116" s="9"/>
      <c r="I116" s="1" t="e">
        <f>SUM(I113:I115)</f>
      </c>
      <c r="J116" s="1" t="e">
        <f>SUM(J113:J115)</f>
      </c>
      <c r="K116" s="1" t="e">
        <f>SUM(K113:K115)</f>
      </c>
      <c r="L116"/>
    </row>
    <row r="117" hidden="1"/>
    <row r="118" hidden="1" ht="18" customHeight="1">
      <c r="C118" t="str">
        <v>④ 연구인프라 조성비</v>
      </c>
    </row>
    <row r="119" hidden="1">
      <c r="C119" t="str">
        <v>구분</v>
      </c>
      <c r="D119" t="str">
        <v>품명</v>
      </c>
      <c r="E119" t="str">
        <v>규격</v>
      </c>
      <c r="F119" t="str">
        <v>단위</v>
      </c>
      <c r="G119" t="str">
        <v>수량</v>
      </c>
      <c r="H119" t="str">
        <v>단가</v>
      </c>
      <c r="I119" t="str">
        <v>총액(원)_현금</v>
      </c>
      <c r="J119" t="str">
        <v>총액(원)_현물</v>
      </c>
      <c r="K119" t="str">
        <v>총액(원)_합계</v>
      </c>
      <c r="L119" t="str">
        <v>비고</v>
      </c>
    </row>
    <row r="120" hidden="1">
      <c r="C120" s="9"/>
      <c r="D120" s="9"/>
      <c r="E120" s="9"/>
      <c r="F120" s="9"/>
      <c r="G120"/>
      <c r="H120" s="5"/>
      <c r="I120" s="1" t="e">
        <f>ROUND(G120*H120,0)</f>
      </c>
      <c r="J120" s="1"/>
      <c r="K120" s="1" t="e">
        <f>I120+J120</f>
      </c>
      <c r="L120"/>
    </row>
    <row r="121" hidden="1">
      <c r="C121" s="9"/>
      <c r="D121" s="9"/>
      <c r="E121" s="9"/>
      <c r="F121" s="9"/>
      <c r="G121"/>
      <c r="H121" s="5"/>
      <c r="I121" s="1" t="e">
        <f>ROUND(G121*H121,0)</f>
      </c>
      <c r="J121" s="1"/>
      <c r="K121" s="1" t="e">
        <f>I121+J121</f>
      </c>
      <c r="L121"/>
    </row>
    <row r="122" hidden="1" ht="17.5" customHeight="1">
      <c r="C122" s="9"/>
      <c r="D122" s="9"/>
      <c r="E122" s="9"/>
      <c r="F122" s="9"/>
      <c r="G122"/>
      <c r="H122" s="5"/>
      <c r="I122" s="1" t="e">
        <f>ROUND(G122*H122,0)</f>
      </c>
      <c r="J122" s="1"/>
      <c r="K122" s="1" t="e">
        <f>I122+J122</f>
      </c>
      <c r="L122"/>
    </row>
    <row r="123" hidden="1" ht="17.5" customHeight="1">
      <c r="C123" s="9" t="str">
        <v>소계</v>
      </c>
      <c r="D123" s="9"/>
      <c r="E123" s="9"/>
      <c r="F123" s="9"/>
      <c r="G123"/>
      <c r="H123" s="9"/>
      <c r="I123" s="1" t="e">
        <f>SUM(I120:I122)</f>
      </c>
      <c r="J123" s="1" t="e">
        <f>SUM(J120:J122)</f>
      </c>
      <c r="K123" s="1" t="e">
        <f>SUM(K120:K122)</f>
      </c>
      <c r="L123"/>
    </row>
    <row r="124" hidden="1" ht="17.5" customHeight="1">
      <c r="C124"/>
    </row>
    <row r="125" ht="18" customHeight="1">
      <c r="C125"/>
    </row>
    <row r="126" ht="18" customHeight="1">
      <c r="C126" t="str">
        <v>라. 연구재료비</v>
      </c>
      <c r="K126" t="str">
        <v>합계</v>
      </c>
      <c r="L126" s="1" t="e">
        <f>SUM(K132,K139,K146)</f>
      </c>
    </row>
    <row r="127" hidden="1" ht="18" customHeight="1">
      <c r="C127" t="str">
        <v>① 연구재료 구입비</v>
      </c>
    </row>
    <row r="128" hidden="1">
      <c r="C128" t="str">
        <v>품명</v>
      </c>
      <c r="D128" t="str">
        <v>산출내역</v>
      </c>
      <c r="E128" t="str">
        <v>규격</v>
      </c>
      <c r="F128" t="str">
        <v>단위</v>
      </c>
      <c r="G128" t="str">
        <v>수량</v>
      </c>
      <c r="H128" t="str">
        <v>단가</v>
      </c>
      <c r="I128" t="str">
        <v>총액(원)_현금</v>
      </c>
      <c r="J128" t="str">
        <v>총액(원)_현물</v>
      </c>
      <c r="K128" t="str">
        <v>총액(원)_합계</v>
      </c>
      <c r="L128" t="str">
        <v>비고</v>
      </c>
    </row>
    <row r="129" hidden="1">
      <c r="C129" s="9"/>
      <c r="D129" s="9"/>
      <c r="E129" s="9"/>
      <c r="F129" s="9"/>
      <c r="G129"/>
      <c r="H129" s="5"/>
      <c r="I129" s="5"/>
      <c r="J129" s="1"/>
      <c r="K129" s="1" t="e">
        <f>I129+J129</f>
      </c>
      <c r="L129"/>
    </row>
    <row r="130" hidden="1">
      <c r="C130" s="9"/>
      <c r="D130" s="9"/>
      <c r="E130" s="9"/>
      <c r="F130" s="9"/>
      <c r="G130"/>
      <c r="H130" s="5"/>
      <c r="I130" s="5"/>
      <c r="J130" s="1"/>
      <c r="K130" s="1" t="e">
        <f>I130+J130</f>
      </c>
      <c r="L130"/>
    </row>
    <row r="131" hidden="1" ht="17.5" customHeight="1">
      <c r="C131" s="9"/>
      <c r="D131" s="9"/>
      <c r="E131" s="9"/>
      <c r="F131" s="9"/>
      <c r="G131"/>
      <c r="H131" s="9"/>
      <c r="I131" s="1" t="e">
        <f>ROUND(G131*H131,0)</f>
      </c>
      <c r="J131" s="1" t="e">
        <f>G131*H131</f>
      </c>
      <c r="K131" s="1" t="e">
        <f>I131+J131</f>
      </c>
      <c r="L131"/>
    </row>
    <row r="132" hidden="1" ht="17.5" customHeight="1">
      <c r="C132" s="9" t="str">
        <v>소계</v>
      </c>
      <c r="D132" s="9"/>
      <c r="E132" s="9"/>
      <c r="F132" s="9"/>
      <c r="G132"/>
      <c r="H132" s="9"/>
      <c r="I132" s="1" t="e">
        <f>SUM(I129:I131)</f>
      </c>
      <c r="J132" s="1" t="e">
        <f>SUM(J129:J131)</f>
      </c>
      <c r="K132" s="1" t="e">
        <f>SUM(K129:K131)</f>
      </c>
      <c r="L132"/>
    </row>
    <row r="133" hidden="1">
      <c r="C133" s="9"/>
      <c r="D133" s="9"/>
      <c r="E133" s="9"/>
      <c r="F133" s="9"/>
      <c r="G133"/>
      <c r="H133" s="9"/>
      <c r="I133" s="1"/>
      <c r="J133" s="1"/>
      <c r="K133" s="1"/>
      <c r="L133"/>
    </row>
    <row r="134" hidden="1" ht="18" customHeight="1">
      <c r="C134" t="str">
        <v>② 연구개발과제 관리비</v>
      </c>
    </row>
    <row r="135" hidden="1">
      <c r="C135" t="str">
        <v>품명</v>
      </c>
      <c r="D135" t="str">
        <v>산출내역</v>
      </c>
      <c r="E135" t="str">
        <v>규격</v>
      </c>
      <c r="F135" t="str">
        <v>단위</v>
      </c>
      <c r="G135" t="str">
        <v>수량</v>
      </c>
      <c r="H135" t="str">
        <v>단가</v>
      </c>
      <c r="I135" t="str">
        <v>총액(원)_현금</v>
      </c>
      <c r="J135" t="str">
        <v>총액(원)_현물</v>
      </c>
      <c r="K135" t="str">
        <v>총액(원)_합계</v>
      </c>
      <c r="L135" t="str">
        <v>비고</v>
      </c>
    </row>
    <row r="136" hidden="1">
      <c r="C136" s="9"/>
      <c r="D136" s="9"/>
      <c r="E136" s="9"/>
      <c r="F136" s="9"/>
      <c r="G136"/>
      <c r="H136" s="5"/>
      <c r="I136" s="5"/>
      <c r="J136" s="1"/>
      <c r="K136" s="1" t="e">
        <f>I136+J136</f>
      </c>
      <c r="L136"/>
    </row>
    <row r="137" hidden="1">
      <c r="C137" s="9"/>
      <c r="D137" s="9"/>
      <c r="E137" s="9"/>
      <c r="F137" s="9"/>
      <c r="G137"/>
      <c r="H137" s="5"/>
      <c r="I137" s="5"/>
      <c r="J137" s="1"/>
      <c r="K137" s="1" t="e">
        <f>I137+J137</f>
      </c>
      <c r="L137"/>
    </row>
    <row r="138" hidden="1" ht="17.5" customHeight="1">
      <c r="C138" s="9"/>
      <c r="D138" s="9"/>
      <c r="E138" s="9"/>
      <c r="F138" s="9"/>
      <c r="G138"/>
      <c r="H138" s="9"/>
      <c r="I138" s="1" t="e">
        <f>ROUND(G138*H138,0)</f>
      </c>
      <c r="J138" s="1" t="e">
        <f>G138*H138</f>
      </c>
      <c r="K138" s="1" t="e">
        <f>I138+J138</f>
      </c>
      <c r="L138"/>
    </row>
    <row r="139" hidden="1" ht="17.5" customHeight="1">
      <c r="C139" s="9" t="str">
        <v>소계</v>
      </c>
      <c r="D139" s="9"/>
      <c r="E139" s="9"/>
      <c r="F139" s="9"/>
      <c r="G139"/>
      <c r="H139" s="9"/>
      <c r="I139" s="1" t="e">
        <f>SUM(I136:I138)</f>
      </c>
      <c r="J139" s="1" t="e">
        <f>SUM(J136:J138)</f>
      </c>
      <c r="K139" s="1" t="e">
        <f>SUM(K136:K138)</f>
      </c>
      <c r="L139"/>
    </row>
    <row r="140" hidden="1">
      <c r="C140" s="9"/>
      <c r="D140" s="9"/>
      <c r="E140" s="9"/>
      <c r="F140" s="9"/>
      <c r="G140"/>
      <c r="H140" s="9"/>
      <c r="I140" s="1"/>
      <c r="J140" s="1"/>
      <c r="K140" s="1"/>
      <c r="L140"/>
    </row>
    <row r="141" hidden="1" ht="18" customHeight="1">
      <c r="C141" t="str">
        <v>③ 연구재료 제작비</v>
      </c>
    </row>
    <row r="142" hidden="1">
      <c r="C142" t="str">
        <v>품명</v>
      </c>
      <c r="D142" t="str">
        <v>산출내역</v>
      </c>
      <c r="E142" t="str">
        <v>규격</v>
      </c>
      <c r="F142" t="str">
        <v>단위</v>
      </c>
      <c r="G142" t="str">
        <v>수량</v>
      </c>
      <c r="H142" t="str">
        <v>단가</v>
      </c>
      <c r="I142" t="str">
        <v>총액(원)_현금</v>
      </c>
      <c r="J142" t="str">
        <v>총액(원)_현물</v>
      </c>
      <c r="K142" t="str">
        <v>총액(원)_합계</v>
      </c>
      <c r="L142" t="str">
        <v>비고</v>
      </c>
    </row>
    <row r="143" hidden="1">
      <c r="C143" s="9"/>
      <c r="D143" s="9"/>
      <c r="E143" s="9"/>
      <c r="F143" s="9"/>
      <c r="G143"/>
      <c r="H143" s="5"/>
      <c r="I143" s="5"/>
      <c r="J143" s="1"/>
      <c r="K143" s="1"/>
      <c r="L143"/>
    </row>
    <row r="144" hidden="1">
      <c r="C144" s="9"/>
      <c r="D144" s="9"/>
      <c r="E144" s="9"/>
      <c r="F144" s="9"/>
      <c r="G144"/>
      <c r="H144" s="5"/>
      <c r="I144" s="5"/>
      <c r="J144" s="1"/>
      <c r="K144" s="1"/>
      <c r="L144"/>
    </row>
    <row r="145" hidden="1" ht="17.5" customHeight="1">
      <c r="C145" s="9"/>
      <c r="D145" s="9"/>
      <c r="E145" s="9"/>
      <c r="F145" s="9"/>
      <c r="G145"/>
      <c r="H145" s="5"/>
      <c r="I145" s="5"/>
      <c r="J145" s="1"/>
      <c r="K145" s="1"/>
      <c r="L145"/>
    </row>
    <row r="146" hidden="1" ht="17.5" customHeight="1">
      <c r="C146" s="9" t="str">
        <v>소계</v>
      </c>
      <c r="D146" s="9"/>
      <c r="E146" s="9"/>
      <c r="F146" s="9"/>
      <c r="G146"/>
      <c r="H146" s="9"/>
      <c r="I146" s="1" t="e">
        <f>SUM(I143:I145)</f>
      </c>
      <c r="J146" s="1" t="e">
        <f>SUM(J143:J145)</f>
      </c>
      <c r="K146" s="1" t="e">
        <f>SUM(K143:K145)</f>
      </c>
      <c r="L146"/>
    </row>
    <row r="147" hidden="1" ht="17.5" customHeight="1">
      <c r="C147"/>
    </row>
    <row r="148" ht="17.5" customHeight="1">
      <c r="C148"/>
    </row>
    <row r="149" ht="18" customHeight="1">
      <c r="C149" t="str">
        <v>마. 연구활동비</v>
      </c>
    </row>
    <row r="150" ht="18" customHeight="1">
      <c r="C150"/>
      <c r="K150" t="str">
        <v>합계</v>
      </c>
      <c r="L150" s="1" t="e">
        <f>SUM(K156,K163,K172,K181,K188,K193,K201,K207,K214,K223,K232,K243)</f>
      </c>
    </row>
    <row r="151" ht="18" customHeight="1">
      <c r="C151" t="str">
        <v>① 외주용역비</v>
      </c>
    </row>
    <row r="152" hidden="1">
      <c r="C152" t="str">
        <v>품명</v>
      </c>
      <c r="D152" t="str">
        <v>산출내역</v>
      </c>
      <c r="E152" t="str">
        <v>규격</v>
      </c>
      <c r="F152" t="str">
        <v>단위</v>
      </c>
      <c r="G152" t="str">
        <v>수량</v>
      </c>
      <c r="H152" t="str">
        <v>단가</v>
      </c>
      <c r="I152" t="str">
        <v>총액(원)_현금</v>
      </c>
      <c r="J152" t="str">
        <v>총액(원)_현물</v>
      </c>
      <c r="K152" t="str">
        <v>총액(원)_합계</v>
      </c>
      <c r="L152" t="str">
        <v>비고</v>
      </c>
    </row>
    <row r="153" hidden="1">
      <c r="C153" s="9"/>
      <c r="D153" s="9"/>
      <c r="E153" s="9"/>
      <c r="F153" s="9"/>
      <c r="G153"/>
      <c r="H153" s="1"/>
      <c r="I153" s="1" t="e">
        <f>G153*H153</f>
      </c>
      <c r="J153" s="1"/>
      <c r="K153" s="1" t="e">
        <f>I153+J153</f>
      </c>
      <c r="L153"/>
    </row>
    <row r="154" hidden="1">
      <c r="C154" s="9"/>
      <c r="D154" s="9"/>
      <c r="E154" s="9"/>
      <c r="F154" s="9"/>
      <c r="G154"/>
      <c r="H154" s="1"/>
      <c r="I154" s="1" t="e">
        <f>G154*H154</f>
      </c>
      <c r="J154" s="1"/>
      <c r="K154" s="1" t="e">
        <f>I154+J154</f>
      </c>
      <c r="L154"/>
    </row>
    <row r="155" hidden="1" ht="17.5" customHeight="1">
      <c r="C155" s="9"/>
      <c r="D155" s="9"/>
      <c r="E155" s="9"/>
      <c r="F155" s="9"/>
      <c r="G155"/>
      <c r="H155" s="1"/>
      <c r="I155" s="1" t="e">
        <f>G155*H155</f>
      </c>
      <c r="J155" s="1"/>
      <c r="K155" s="1" t="e">
        <f>I155+J155</f>
      </c>
      <c r="L155"/>
    </row>
    <row r="156" hidden="1" ht="17.5" customHeight="1">
      <c r="C156" s="9" t="str">
        <v>소계</v>
      </c>
      <c r="D156" s="9"/>
      <c r="E156" s="9"/>
      <c r="F156" s="9"/>
      <c r="G156"/>
      <c r="H156" s="9"/>
      <c r="I156" s="1" t="e">
        <f>SUM(I153:I155)</f>
      </c>
      <c r="J156" s="1" t="e">
        <f>SUM(J153:J155)</f>
      </c>
      <c r="K156" s="1" t="e">
        <f>SUM(K153:K155)</f>
      </c>
      <c r="L156"/>
    </row>
    <row r="157" hidden="1">
      <c r="C157" s="9"/>
      <c r="D157" s="9"/>
      <c r="E157" s="9"/>
      <c r="F157" s="9"/>
      <c r="G157"/>
      <c r="H157" s="9"/>
      <c r="I157" s="1"/>
      <c r="J157" s="1"/>
      <c r="K157" s="1"/>
      <c r="L157"/>
    </row>
    <row r="158" hidden="1" ht="18" customHeight="1">
      <c r="C158" t="str">
        <v>② 지식재산 창출 활동비</v>
      </c>
    </row>
    <row r="159" hidden="1" ht="16.5" customHeight="1">
      <c r="C159" t="str">
        <v>내역</v>
      </c>
      <c r="D159"/>
      <c r="E159" t="str">
        <v>산출내역</v>
      </c>
      <c r="F159"/>
      <c r="G159"/>
      <c r="H159"/>
      <c r="I159"/>
      <c r="J159"/>
      <c r="K159" t="str">
        <v>합계</v>
      </c>
      <c r="L159" t="str">
        <v>비고</v>
      </c>
      <c r="N159"/>
      <c r="O159"/>
    </row>
    <row r="160" hidden="1">
      <c r="C160"/>
      <c r="D160"/>
      <c r="E160" t="str">
        <v>단가</v>
      </c>
      <c r="F160"/>
      <c r="G160"/>
      <c r="H160"/>
      <c r="I160"/>
      <c r="J160"/>
      <c r="K160"/>
      <c r="L160"/>
      <c r="N160"/>
      <c r="O160"/>
    </row>
    <row r="161" hidden="1">
      <c r="C161" s="9"/>
      <c r="D161" s="9"/>
      <c r="E161" s="1"/>
      <c r="F161" s="10"/>
      <c r="G161" s="9"/>
      <c r="H161" s="9"/>
      <c r="I161" s="1"/>
      <c r="J161" s="1"/>
      <c r="K161" s="1" t="e">
        <f>+E161*F161</f>
      </c>
      <c r="L161" s="1"/>
      <c r="N161"/>
      <c r="O161"/>
    </row>
    <row r="162" hidden="1" ht="17.5" customHeight="1">
      <c r="C162" s="9"/>
      <c r="D162" s="9"/>
      <c r="E162" s="9"/>
      <c r="F162" s="10"/>
      <c r="G162" s="9"/>
      <c r="H162" s="9"/>
      <c r="I162" s="1"/>
      <c r="J162" s="1"/>
      <c r="K162" s="1" t="e">
        <f>+E162*F162</f>
      </c>
      <c r="L162" s="1"/>
      <c r="N162"/>
      <c r="O162"/>
    </row>
    <row r="163" hidden="1" ht="17.5" customHeight="1">
      <c r="C163" s="9" t="str">
        <v>소계</v>
      </c>
      <c r="D163" s="9"/>
      <c r="E163" s="9"/>
      <c r="F163" s="9"/>
      <c r="G163" s="9"/>
      <c r="H163" s="9"/>
      <c r="I163" s="1"/>
      <c r="J163" s="1"/>
      <c r="K163" s="1" t="e">
        <f>SUM(K161:K162)</f>
      </c>
      <c r="L163" s="1"/>
      <c r="N163"/>
      <c r="O163"/>
    </row>
    <row r="164" hidden="1">
      <c r="C164" s="9"/>
      <c r="D164" s="9"/>
      <c r="E164" s="9"/>
      <c r="F164" s="9"/>
      <c r="G164" s="9"/>
      <c r="H164" s="9"/>
      <c r="I164" s="1"/>
      <c r="J164" s="1"/>
      <c r="K164" s="1"/>
      <c r="L164" s="1"/>
    </row>
    <row r="165" ht="18" customHeight="1">
      <c r="C165" t="str">
        <v>③ 외부 전문기술 활용비</v>
      </c>
    </row>
    <row r="166" hidden="1" ht="16.5" customHeight="1">
      <c r="C166" t="str">
        <v>내역</v>
      </c>
      <c r="D166"/>
      <c r="E166" t="str">
        <v>산출내역</v>
      </c>
      <c r="F166"/>
      <c r="G166"/>
      <c r="H166"/>
      <c r="I166"/>
      <c r="J166"/>
      <c r="K166" t="str">
        <v>합계</v>
      </c>
      <c r="L166" t="str">
        <v>비고</v>
      </c>
      <c r="N166"/>
      <c r="O166"/>
    </row>
    <row r="167" hidden="1">
      <c r="C167"/>
      <c r="D167"/>
      <c r="E167" t="str">
        <v>단가</v>
      </c>
      <c r="F167"/>
      <c r="G167"/>
      <c r="H167"/>
      <c r="I167"/>
      <c r="J167"/>
      <c r="K167"/>
      <c r="L167"/>
      <c r="N167"/>
      <c r="O167"/>
    </row>
    <row r="168" hidden="1">
      <c r="C168" s="9"/>
      <c r="D168" s="9"/>
      <c r="E168" s="1"/>
      <c r="F168" s="10"/>
      <c r="G168" s="9"/>
      <c r="H168" s="9"/>
      <c r="I168" s="1"/>
      <c r="J168" s="1"/>
      <c r="K168" s="1" t="e">
        <f>+E168*F168</f>
      </c>
      <c r="L168" s="1"/>
      <c r="N168"/>
      <c r="O168"/>
    </row>
    <row r="169" hidden="1">
      <c r="C169" s="9"/>
      <c r="D169" s="9"/>
      <c r="E169" s="1"/>
      <c r="F169" s="10"/>
      <c r="G169" s="9"/>
      <c r="H169" s="9"/>
      <c r="I169" s="1"/>
      <c r="J169" s="1"/>
      <c r="K169" s="1" t="e">
        <f>+E169*F169</f>
      </c>
      <c r="L169" s="1"/>
      <c r="N169"/>
      <c r="O169"/>
    </row>
    <row r="170" hidden="1">
      <c r="C170" s="9"/>
      <c r="D170" s="9"/>
      <c r="E170" s="9"/>
      <c r="F170" s="9"/>
      <c r="G170" s="9"/>
      <c r="H170" s="9"/>
      <c r="I170" s="1"/>
      <c r="J170" s="1"/>
      <c r="K170" s="1" t="e">
        <f>+G170*H170*I170</f>
      </c>
      <c r="L170" s="1"/>
      <c r="N170"/>
      <c r="O170"/>
    </row>
    <row r="171" hidden="1" ht="17.5" customHeight="1">
      <c r="C171" s="9"/>
      <c r="D171" s="9"/>
      <c r="E171" s="9"/>
      <c r="F171" s="10"/>
      <c r="G171" s="10"/>
      <c r="H171" s="10"/>
      <c r="I171" s="1"/>
      <c r="J171" s="1"/>
      <c r="K171" s="1"/>
      <c r="L171" s="1"/>
      <c r="N171"/>
      <c r="O171"/>
    </row>
    <row r="172" hidden="1" ht="17.5" customHeight="1">
      <c r="C172" s="9" t="str">
        <v>소계</v>
      </c>
      <c r="D172" s="9"/>
      <c r="E172" s="9"/>
      <c r="F172" s="9"/>
      <c r="G172" s="9"/>
      <c r="H172" s="9"/>
      <c r="I172" s="1"/>
      <c r="J172" s="1"/>
      <c r="K172" s="1" t="e">
        <f>SUM(K168:K171)</f>
      </c>
      <c r="L172" s="1"/>
      <c r="N172"/>
      <c r="O172"/>
    </row>
    <row r="173" hidden="1">
      <c r="C173" s="9"/>
      <c r="D173" s="9"/>
      <c r="E173" s="9"/>
      <c r="F173" s="9"/>
      <c r="G173" s="9"/>
      <c r="H173" s="9"/>
      <c r="I173" s="1"/>
      <c r="J173" s="1"/>
      <c r="K173" s="1"/>
      <c r="L173" s="1"/>
    </row>
    <row r="174" ht="18" customHeight="1">
      <c r="C174" t="str">
        <v>④ 회의비</v>
      </c>
    </row>
    <row r="175" ht="16.5" customHeight="1">
      <c r="C175" t="str">
        <v>내역</v>
      </c>
      <c r="D175"/>
      <c r="E175" t="str">
        <v>산출내역</v>
      </c>
      <c r="F175"/>
      <c r="G175"/>
      <c r="H175"/>
      <c r="I175" t="str">
        <v>산출 비용</v>
      </c>
      <c r="J175"/>
      <c r="K175" t="str">
        <v>합계</v>
      </c>
      <c r="L175" t="str">
        <v>비고</v>
      </c>
      <c r="N175"/>
      <c r="O175"/>
    </row>
    <row r="176">
      <c r="C176"/>
      <c r="D176"/>
      <c r="E176" t="str">
        <v>단가</v>
      </c>
      <c r="F176"/>
      <c r="G176"/>
      <c r="H176"/>
      <c r="I176"/>
      <c r="J176"/>
      <c r="K176"/>
      <c r="L176"/>
      <c r="N176"/>
      <c r="O176"/>
    </row>
    <row r="177">
      <c r="C177" s="9" t="str">
        <v>회의비</v>
      </c>
      <c r="D177" s="9"/>
      <c r="E177" s="1"/>
      <c r="F177" s="10"/>
      <c r="G177" s="9"/>
      <c r="H177" s="9"/>
      <c r="I177" s="1" t="e">
        <f>E177*F177</f>
      </c>
      <c r="J177" s="1"/>
      <c r="K177" s="1" t="e">
        <f>+E177*F177</f>
      </c>
      <c r="L177" s="1"/>
      <c r="N177"/>
      <c r="O177"/>
    </row>
    <row r="178" hidden="1">
      <c r="C178" s="9"/>
      <c r="D178" s="9"/>
      <c r="E178" s="9"/>
      <c r="F178" s="10"/>
      <c r="G178" s="9"/>
      <c r="H178" s="9"/>
      <c r="I178" s="1" t="e">
        <f>E178*F178</f>
      </c>
      <c r="J178" s="1"/>
      <c r="K178" s="1" t="e">
        <f>+E178*F178</f>
      </c>
      <c r="L178" s="1"/>
      <c r="N178"/>
      <c r="O178"/>
    </row>
    <row r="179" hidden="1">
      <c r="C179" s="9"/>
      <c r="D179" s="9"/>
      <c r="E179" s="9"/>
      <c r="F179" s="9"/>
      <c r="G179" s="9"/>
      <c r="H179" s="9"/>
      <c r="I179" s="1" t="e">
        <f>E179*F179</f>
      </c>
      <c r="J179" s="1"/>
      <c r="K179" s="1" t="e">
        <f>+E179*F179</f>
      </c>
      <c r="L179" s="1"/>
      <c r="N179"/>
      <c r="O179"/>
    </row>
    <row r="180" hidden="1" ht="17.5" customHeight="1">
      <c r="C180" s="9"/>
      <c r="D180" s="9"/>
      <c r="E180" s="9"/>
      <c r="F180" s="10"/>
      <c r="G180" s="10"/>
      <c r="H180" s="10"/>
      <c r="I180" s="1" t="e">
        <f>E180*F180</f>
      </c>
      <c r="J180" s="1"/>
      <c r="K180" s="1" t="e">
        <f>+E180*F180</f>
      </c>
      <c r="L180" s="1"/>
      <c r="N180"/>
      <c r="O180"/>
    </row>
    <row r="181" ht="17.5" customHeight="1">
      <c r="C181" s="9" t="str">
        <v>소계</v>
      </c>
      <c r="D181" s="9"/>
      <c r="E181" s="9"/>
      <c r="F181" s="9"/>
      <c r="G181" s="9"/>
      <c r="H181" s="9"/>
      <c r="I181" s="1"/>
      <c r="J181" s="1"/>
      <c r="K181" s="1" t="e">
        <f>SUM(K177:K180)</f>
      </c>
      <c r="L181" s="1"/>
      <c r="N181"/>
      <c r="O181"/>
    </row>
    <row r="182">
      <c r="C182" s="9"/>
      <c r="D182" s="9"/>
      <c r="E182" s="9"/>
      <c r="F182" s="9"/>
      <c r="G182" s="9"/>
      <c r="H182" s="9"/>
      <c r="I182" s="1"/>
      <c r="J182" s="1"/>
      <c r="K182" s="1"/>
      <c r="L182" s="1"/>
    </row>
    <row r="183" ht="18" customHeight="1">
      <c r="C183" t="str">
        <v>⑤ 출장비</v>
      </c>
      <c r="N183"/>
      <c r="O183"/>
      <c r="P183"/>
    </row>
    <row r="184">
      <c r="C184" t="str">
        <v>내역</v>
      </c>
      <c r="D184"/>
      <c r="E184" t="str">
        <v>산출내역</v>
      </c>
      <c r="F184"/>
      <c r="G184"/>
      <c r="H184"/>
      <c r="I184"/>
      <c r="J184"/>
      <c r="K184" t="str">
        <v>합계</v>
      </c>
      <c r="L184" t="str">
        <v>비고</v>
      </c>
      <c r="N184"/>
      <c r="O184" s="5"/>
      <c r="P184" s="5" t="e">
        <f>O184*2</f>
      </c>
    </row>
    <row r="185">
      <c r="C185"/>
      <c r="D185"/>
      <c r="E185" t="str">
        <v>인원</v>
      </c>
      <c r="F185" t="str">
        <v>횟수</v>
      </c>
      <c r="G185" t="str">
        <v>산출비용</v>
      </c>
      <c r="H185"/>
      <c r="I185"/>
      <c r="J185"/>
      <c r="K185"/>
      <c r="L185"/>
      <c r="N185"/>
      <c r="O185" s="5"/>
      <c r="P185" s="5"/>
    </row>
    <row r="186">
      <c r="C186" s="9" t="str">
        <v>국내출장비</v>
      </c>
      <c r="D186" s="9"/>
      <c r="E186" s="8"/>
      <c r="F186" s="10"/>
      <c r="G186" s="1"/>
      <c r="H186" s="9"/>
      <c r="I186" s="1"/>
      <c r="J186" s="1"/>
      <c r="K186" s="1" t="e">
        <f>E186*F186*G186</f>
      </c>
      <c r="L186" s="1"/>
      <c r="N186"/>
      <c r="O186" s="5"/>
      <c r="P186" s="5"/>
    </row>
    <row r="187" ht="17.5" customHeight="1">
      <c r="C187" s="9"/>
      <c r="D187" s="9"/>
      <c r="E187" s="8"/>
      <c r="F187" s="10"/>
      <c r="G187" s="1"/>
      <c r="H187" s="9"/>
      <c r="I187" s="1"/>
      <c r="J187" s="1"/>
      <c r="K187" s="1"/>
      <c r="L187" s="1"/>
      <c r="N187"/>
      <c r="O187"/>
    </row>
    <row r="188" ht="17.5" customHeight="1">
      <c r="C188" s="9" t="str">
        <v>소계</v>
      </c>
      <c r="D188" s="9"/>
      <c r="E188" s="9"/>
      <c r="F188" s="9"/>
      <c r="G188" s="9"/>
      <c r="H188" s="9"/>
      <c r="I188" s="1"/>
      <c r="J188" s="1"/>
      <c r="K188" s="1" t="e">
        <f>SUM(K186:K187)</f>
      </c>
      <c r="L188" s="1"/>
      <c r="N188"/>
      <c r="O188"/>
    </row>
    <row r="189">
      <c r="C189" s="9"/>
      <c r="D189" s="9"/>
      <c r="E189" s="9"/>
      <c r="F189" s="9"/>
      <c r="G189" s="9"/>
      <c r="H189" s="9"/>
      <c r="I189" s="1"/>
      <c r="J189" s="1"/>
      <c r="K189" s="1"/>
      <c r="L189" s="1"/>
    </row>
    <row r="190" hidden="1">
      <c r="C190" t="str">
        <v>내역</v>
      </c>
      <c r="D190"/>
      <c r="E190" t="str">
        <v>산출내역</v>
      </c>
      <c r="F190"/>
      <c r="G190"/>
      <c r="H190"/>
      <c r="I190"/>
      <c r="J190"/>
      <c r="K190" t="str">
        <v>합계</v>
      </c>
      <c r="L190" t="str">
        <v>비고</v>
      </c>
    </row>
    <row r="191" hidden="1">
      <c r="C191"/>
      <c r="D191"/>
      <c r="E191" t="str">
        <v>인원</v>
      </c>
      <c r="F191" t="str">
        <v>횟수</v>
      </c>
      <c r="G191" t="str">
        <v>산출비용</v>
      </c>
      <c r="H191"/>
      <c r="I191"/>
      <c r="J191"/>
      <c r="K191"/>
      <c r="L191"/>
    </row>
    <row r="192" hidden="1">
      <c r="C192" s="9" t="str">
        <v>국외출장비</v>
      </c>
      <c r="D192" s="9"/>
      <c r="E192" s="8"/>
      <c r="F192" s="10"/>
      <c r="G192" s="1"/>
      <c r="H192" s="9"/>
      <c r="I192" s="1"/>
      <c r="J192" s="1"/>
      <c r="K192" s="1" t="e">
        <f>E192*F192*G192</f>
      </c>
      <c r="L192" s="1"/>
    </row>
    <row r="193" hidden="1" ht="17.5" customHeight="1">
      <c r="C193" s="9" t="str">
        <v>소계</v>
      </c>
      <c r="D193" s="9"/>
      <c r="E193" s="9"/>
      <c r="F193" s="9"/>
      <c r="G193" s="9"/>
      <c r="H193" s="9"/>
      <c r="I193" s="1"/>
      <c r="J193" s="1"/>
      <c r="K193" s="1" t="e">
        <f>SUM(K192:K192)</f>
      </c>
      <c r="L193" s="1"/>
    </row>
    <row r="194" hidden="1">
      <c r="C194" s="9"/>
      <c r="D194" s="9"/>
      <c r="E194" s="9"/>
      <c r="F194" s="9"/>
      <c r="G194" s="9"/>
      <c r="H194" s="9"/>
      <c r="I194" s="1"/>
      <c r="J194" s="1"/>
      <c r="K194" s="1"/>
      <c r="L194" s="1"/>
    </row>
    <row r="195" ht="18" customHeight="1">
      <c r="C195" t="str">
        <v>⑥ 소프트웨어 활용비</v>
      </c>
    </row>
    <row r="196" ht="16.5" customHeight="1">
      <c r="C196" t="str">
        <v>내역</v>
      </c>
      <c r="D196"/>
      <c r="E196" t="str">
        <v>산출내역</v>
      </c>
      <c r="F196"/>
      <c r="G196"/>
      <c r="H196"/>
      <c r="I196"/>
      <c r="J196"/>
      <c r="K196" t="str">
        <v>합계</v>
      </c>
      <c r="L196" t="str">
        <v>비고</v>
      </c>
      <c r="N196"/>
      <c r="O196"/>
    </row>
    <row r="197">
      <c r="C197"/>
      <c r="D197"/>
      <c r="E197" t="str">
        <v>단가</v>
      </c>
      <c r="F197" t="str">
        <v>시트(수량)</v>
      </c>
      <c r="G197"/>
      <c r="H197"/>
      <c r="I197"/>
      <c r="J197"/>
      <c r="K197"/>
      <c r="L197"/>
      <c r="N197"/>
      <c r="O197"/>
      <c r="P197"/>
    </row>
    <row r="198">
      <c r="C198" s="9" t="str">
        <v>소프트웨어 활용비</v>
      </c>
      <c r="D198" s="9"/>
      <c r="E198" s="1"/>
      <c r="F198" s="10"/>
      <c r="G198" s="8"/>
      <c r="H198" s="9"/>
      <c r="I198" s="1"/>
      <c r="J198" s="1"/>
      <c r="K198" s="1" t="e">
        <f>(+E198*F198*G198)</f>
      </c>
      <c r="L198" s="1"/>
      <c r="M198"/>
      <c r="N198" s="5"/>
      <c r="O198" s="1" t="e">
        <f>N198/12</f>
      </c>
      <c r="P198" s="1" t="e">
        <f>N198/9</f>
      </c>
    </row>
    <row r="199" hidden="1">
      <c r="C199" s="9"/>
      <c r="D199" s="9"/>
      <c r="E199" s="9"/>
      <c r="F199" s="9"/>
      <c r="G199" s="9"/>
      <c r="H199" s="9"/>
      <c r="I199" s="1"/>
      <c r="J199" s="1"/>
      <c r="K199" s="1" t="e">
        <f>+E199*F199</f>
      </c>
      <c r="L199" s="1"/>
      <c r="N199"/>
      <c r="O199"/>
    </row>
    <row r="200" hidden="1" ht="17.5" customHeight="1">
      <c r="C200" s="9"/>
      <c r="D200" s="9"/>
      <c r="E200" s="9"/>
      <c r="F200" s="10"/>
      <c r="G200" s="10"/>
      <c r="H200" s="10"/>
      <c r="I200" s="1"/>
      <c r="J200" s="1"/>
      <c r="K200" s="1" t="e">
        <f>+E200*F200</f>
      </c>
      <c r="L200" s="1"/>
      <c r="N200"/>
      <c r="O200"/>
    </row>
    <row r="201" ht="17.5" customHeight="1">
      <c r="C201" s="9" t="str">
        <v>소계</v>
      </c>
      <c r="D201" s="9"/>
      <c r="E201" s="9"/>
      <c r="F201" s="9"/>
      <c r="G201" s="9"/>
      <c r="H201" s="9"/>
      <c r="I201" s="1"/>
      <c r="J201" s="1"/>
      <c r="K201" s="1" t="e">
        <f>SUM(K198:K200)</f>
      </c>
      <c r="L201" s="1"/>
      <c r="N201"/>
      <c r="O201"/>
    </row>
    <row r="202">
      <c r="C202" s="9"/>
      <c r="D202" s="9"/>
      <c r="E202" s="9"/>
      <c r="F202" s="9"/>
      <c r="G202" s="9"/>
      <c r="H202" s="9"/>
      <c r="I202" s="1"/>
      <c r="J202" s="1"/>
      <c r="K202" s="1"/>
      <c r="L202" s="1"/>
    </row>
    <row r="203" hidden="1" ht="17.5" customHeight="1">
      <c r="C203" t="str">
        <v>⑦ 연구실 운영비</v>
      </c>
    </row>
    <row r="204" hidden="1" ht="16.5" customHeight="1">
      <c r="C204" t="str">
        <v>내역</v>
      </c>
      <c r="D204"/>
      <c r="E204" t="str">
        <v>단가</v>
      </c>
      <c r="F204" t="str">
        <v>횟수</v>
      </c>
      <c r="G204" t="str">
        <v>산출내역</v>
      </c>
      <c r="H204" t="str">
        <v>산출비용</v>
      </c>
      <c r="I204"/>
      <c r="J204"/>
      <c r="K204" t="str">
        <v>합계</v>
      </c>
      <c r="L204" t="str">
        <v>비고</v>
      </c>
      <c r="N204"/>
      <c r="O204"/>
    </row>
    <row r="205" hidden="1">
      <c r="C205"/>
      <c r="D205"/>
      <c r="E205" s="1"/>
      <c r="F205"/>
      <c r="G205"/>
      <c r="H205" s="1" t="e">
        <f>E205*F205</f>
      </c>
      <c r="I205"/>
      <c r="J205"/>
      <c r="K205" s="1" t="e">
        <f>H205</f>
      </c>
      <c r="L205"/>
      <c r="N205"/>
      <c r="O205"/>
    </row>
    <row r="206" hidden="1" ht="17.5" customHeight="1">
      <c r="C206"/>
      <c r="D206" s="9"/>
      <c r="E206" s="1"/>
      <c r="F206"/>
      <c r="G206" s="9"/>
      <c r="H206" s="1" t="e">
        <f>E206*F206</f>
      </c>
      <c r="I206" s="11"/>
      <c r="J206" s="1"/>
      <c r="K206" s="1" t="e">
        <f>H206</f>
      </c>
      <c r="L206" s="1"/>
      <c r="N206"/>
      <c r="O206"/>
    </row>
    <row r="207" hidden="1" ht="17.5" customHeight="1">
      <c r="C207" s="9" t="str">
        <v>소계</v>
      </c>
      <c r="D207" s="9"/>
      <c r="E207" s="9"/>
      <c r="F207" s="9"/>
      <c r="G207" s="9"/>
      <c r="H207" s="9"/>
      <c r="I207" s="1"/>
      <c r="J207"/>
      <c r="K207" s="1" t="e">
        <f>SUM(K205:K206)</f>
      </c>
      <c r="L207"/>
      <c r="N207"/>
      <c r="O207"/>
    </row>
    <row r="208" hidden="1" ht="17.5" customHeight="1">
      <c r="C208"/>
      <c r="N208"/>
      <c r="O208"/>
    </row>
    <row r="209" hidden="1" ht="18" customHeight="1">
      <c r="C209" t="str">
        <v>⑧ 연구인력 지원비</v>
      </c>
    </row>
    <row r="210" hidden="1" ht="16.5" customHeight="1">
      <c r="C210" t="str">
        <v>내역</v>
      </c>
      <c r="D210"/>
      <c r="E210" t="str">
        <v>내역</v>
      </c>
      <c r="F210" t="str">
        <v>인원</v>
      </c>
      <c r="G210" t="str">
        <v>횟수</v>
      </c>
      <c r="H210" t="str">
        <v>산출비용</v>
      </c>
      <c r="I210"/>
      <c r="J210"/>
      <c r="K210" t="str">
        <v>합계</v>
      </c>
      <c r="L210" t="str">
        <v>비고</v>
      </c>
      <c r="N210"/>
      <c r="O210"/>
    </row>
    <row r="211" hidden="1">
      <c r="C211" s="9"/>
      <c r="D211" s="9"/>
      <c r="E211"/>
      <c r="F211"/>
      <c r="G211"/>
      <c r="H211" s="1"/>
      <c r="I211" s="1"/>
      <c r="J211" s="1"/>
      <c r="K211" s="1" t="e">
        <f>J211*H211*I211</f>
      </c>
      <c r="L211" s="1"/>
      <c r="N211"/>
      <c r="O211"/>
    </row>
    <row r="212" hidden="1">
      <c r="C212" s="9"/>
      <c r="D212" s="9"/>
      <c r="E212"/>
      <c r="F212"/>
      <c r="G212"/>
      <c r="H212" s="1"/>
      <c r="I212" s="1"/>
      <c r="J212" s="1"/>
      <c r="K212" s="1" t="e">
        <f>J212*H212*I212</f>
      </c>
      <c r="L212" s="1"/>
      <c r="N212"/>
      <c r="O212"/>
    </row>
    <row r="213" hidden="1" ht="17.5" customHeight="1">
      <c r="C213" s="9"/>
      <c r="D213" s="9"/>
      <c r="E213"/>
      <c r="F213"/>
      <c r="G213"/>
      <c r="H213" s="1"/>
      <c r="I213" s="1"/>
      <c r="J213" s="1"/>
      <c r="K213" s="1" t="e">
        <f>J213*H213*I213</f>
      </c>
      <c r="L213" s="1"/>
      <c r="N213"/>
      <c r="O213"/>
    </row>
    <row r="214" hidden="1" ht="17.5" customHeight="1">
      <c r="C214" s="9" t="str">
        <v>소계</v>
      </c>
      <c r="D214" s="9"/>
      <c r="E214" s="9"/>
      <c r="F214" s="9"/>
      <c r="G214" s="9"/>
      <c r="H214" s="9"/>
      <c r="I214" s="1"/>
      <c r="J214" s="1"/>
      <c r="K214" s="1" t="e">
        <f>SUM(K211:K213)</f>
      </c>
      <c r="L214" s="1" t="e">
        <f>SUM(L211:L213)</f>
      </c>
      <c r="N214"/>
      <c r="O214"/>
    </row>
    <row r="215" hidden="1"/>
    <row r="216" hidden="1" ht="18" customHeight="1">
      <c r="C216" t="str">
        <v>⑨ 종합사업관리비</v>
      </c>
    </row>
    <row r="217" hidden="1" ht="16.5" customHeight="1">
      <c r="C217" t="str">
        <v>내역</v>
      </c>
      <c r="D217"/>
      <c r="E217" t="str">
        <v>산출내역</v>
      </c>
      <c r="F217"/>
      <c r="G217"/>
      <c r="H217"/>
      <c r="I217"/>
      <c r="J217"/>
      <c r="K217" t="str">
        <v>합계</v>
      </c>
      <c r="L217" t="str">
        <v>비고</v>
      </c>
      <c r="N217"/>
      <c r="O217"/>
    </row>
    <row r="218" hidden="1">
      <c r="C218"/>
      <c r="D218"/>
      <c r="E218" t="str">
        <v>단가</v>
      </c>
      <c r="F218"/>
      <c r="G218"/>
      <c r="H218"/>
      <c r="I218"/>
      <c r="J218"/>
      <c r="K218"/>
      <c r="L218"/>
      <c r="N218"/>
      <c r="O218"/>
    </row>
    <row r="219" hidden="1">
      <c r="C219" s="9"/>
      <c r="D219" s="9"/>
      <c r="E219" s="9"/>
      <c r="F219" s="10"/>
      <c r="G219" s="9"/>
      <c r="H219" s="9"/>
      <c r="I219" s="1"/>
      <c r="J219" s="1"/>
      <c r="K219" s="1" t="e">
        <f>+G219*H219</f>
      </c>
      <c r="L219" s="1"/>
      <c r="N219"/>
      <c r="O219"/>
    </row>
    <row r="220" hidden="1">
      <c r="C220" s="9"/>
      <c r="D220" s="9"/>
      <c r="E220" s="9"/>
      <c r="F220" s="10"/>
      <c r="G220" s="9"/>
      <c r="H220" s="9"/>
      <c r="I220" s="1"/>
      <c r="J220" s="1"/>
      <c r="K220" s="1" t="e">
        <f>+G220*H220</f>
      </c>
      <c r="L220" s="1"/>
      <c r="N220"/>
      <c r="O220"/>
    </row>
    <row r="221" hidden="1">
      <c r="C221" s="9"/>
      <c r="D221" s="9"/>
      <c r="E221" s="9"/>
      <c r="F221" s="9"/>
      <c r="G221" s="9"/>
      <c r="H221" s="10"/>
      <c r="I221" s="1"/>
      <c r="J221" s="1"/>
      <c r="K221" s="1" t="e">
        <f>+G221*H221*I221</f>
      </c>
      <c r="L221" s="1"/>
      <c r="N221"/>
      <c r="O221"/>
    </row>
    <row r="222" hidden="1" ht="17.5" customHeight="1">
      <c r="C222" s="9"/>
      <c r="D222" s="9"/>
      <c r="E222" s="9"/>
      <c r="F222" s="10"/>
      <c r="G222" s="10"/>
      <c r="H222" s="10"/>
      <c r="I222" s="1"/>
      <c r="J222" s="1"/>
      <c r="K222" s="1"/>
      <c r="L222" s="1"/>
      <c r="N222"/>
      <c r="O222"/>
    </row>
    <row r="223" hidden="1" ht="17.5" customHeight="1">
      <c r="C223" s="9" t="str">
        <v>소계</v>
      </c>
      <c r="D223" s="9"/>
      <c r="E223" s="9"/>
      <c r="F223" s="9"/>
      <c r="G223" s="9"/>
      <c r="H223" s="9"/>
      <c r="I223" s="1"/>
      <c r="J223" s="1"/>
      <c r="K223" s="1" t="e">
        <f>SUM(K219:K222)</f>
      </c>
      <c r="L223" s="1"/>
      <c r="N223"/>
      <c r="O223"/>
    </row>
    <row r="224" hidden="1">
      <c r="C224" s="9"/>
      <c r="D224" s="9"/>
      <c r="E224" s="9"/>
      <c r="F224" s="9"/>
      <c r="G224" s="9"/>
      <c r="H224" s="9"/>
      <c r="I224" s="1"/>
      <c r="J224" s="1"/>
      <c r="K224" s="1"/>
      <c r="L224" s="1"/>
    </row>
    <row r="225" hidden="1" ht="18" customHeight="1">
      <c r="C225" t="str">
        <v>⑩ 클라우드컴퓨팅서비스 이용료</v>
      </c>
    </row>
    <row r="226" hidden="1" ht="16.5" customHeight="1">
      <c r="C226" t="str">
        <v>내역</v>
      </c>
      <c r="D226"/>
      <c r="E226" t="str">
        <v>산출내역</v>
      </c>
      <c r="F226"/>
      <c r="G226"/>
      <c r="H226"/>
      <c r="I226"/>
      <c r="J226"/>
      <c r="K226" t="str">
        <v>합계</v>
      </c>
      <c r="L226" t="str">
        <v>비고</v>
      </c>
      <c r="N226"/>
      <c r="O226"/>
    </row>
    <row r="227" hidden="1">
      <c r="C227"/>
      <c r="D227"/>
      <c r="E227" t="str">
        <v>단가</v>
      </c>
      <c r="F227"/>
      <c r="G227"/>
      <c r="H227"/>
      <c r="I227"/>
      <c r="J227"/>
      <c r="K227"/>
      <c r="L227"/>
      <c r="N227"/>
      <c r="O227"/>
    </row>
    <row r="228" hidden="1">
      <c r="C228" s="9"/>
      <c r="D228" s="9"/>
      <c r="E228" s="9"/>
      <c r="F228" s="10"/>
      <c r="G228" s="9"/>
      <c r="H228" s="9"/>
      <c r="I228" s="1"/>
      <c r="J228" s="1"/>
      <c r="K228" s="1" t="e">
        <f>+G228*H228</f>
      </c>
      <c r="L228" s="1"/>
    </row>
    <row r="229" hidden="1">
      <c r="C229" s="9"/>
      <c r="D229" s="9"/>
      <c r="E229" s="9"/>
      <c r="F229" s="10"/>
      <c r="G229" s="9"/>
      <c r="H229" s="9"/>
      <c r="I229" s="1"/>
      <c r="J229" s="1"/>
      <c r="K229" s="1" t="e">
        <f>+G229*H229</f>
      </c>
      <c r="L229" s="1"/>
    </row>
    <row r="230" hidden="1">
      <c r="C230" s="9"/>
      <c r="D230" s="9"/>
      <c r="E230" s="9"/>
      <c r="F230" s="9"/>
      <c r="G230" s="9"/>
      <c r="H230" s="9"/>
      <c r="I230" s="1"/>
      <c r="J230" s="1"/>
      <c r="K230" s="1" t="e">
        <f>+G230*H230*I230</f>
      </c>
      <c r="L230" s="1"/>
    </row>
    <row r="231" hidden="1" ht="17.5" customHeight="1">
      <c r="C231" s="9"/>
      <c r="D231" s="9"/>
      <c r="E231" s="9"/>
      <c r="F231" s="10"/>
      <c r="G231" s="10"/>
      <c r="H231" s="10"/>
      <c r="I231" s="1"/>
      <c r="J231" s="1"/>
      <c r="K231" s="1"/>
      <c r="L231" s="1"/>
    </row>
    <row r="232" hidden="1" ht="17.5" customHeight="1">
      <c r="C232" s="9" t="str">
        <v>소계</v>
      </c>
      <c r="D232" s="9"/>
      <c r="E232" s="9"/>
      <c r="F232" s="9"/>
      <c r="G232" s="9"/>
      <c r="H232" s="9"/>
      <c r="I232" s="1"/>
      <c r="J232" s="1"/>
      <c r="K232" s="1" t="e">
        <f>SUM(K228:K231)</f>
      </c>
      <c r="L232" s="1"/>
    </row>
    <row r="233" hidden="1"/>
    <row r="234" ht="18" customHeight="1">
      <c r="C234" t="str">
        <v>⑪ 그 밖의 비용</v>
      </c>
    </row>
    <row r="235" ht="16.5" customHeight="1">
      <c r="C235" t="str">
        <v>내역</v>
      </c>
      <c r="D235"/>
      <c r="E235" t="str">
        <v>산출내역</v>
      </c>
      <c r="F235"/>
      <c r="G235"/>
      <c r="H235"/>
      <c r="I235"/>
      <c r="J235"/>
      <c r="K235" t="str">
        <v>합계</v>
      </c>
      <c r="L235" t="str">
        <v>비고</v>
      </c>
      <c r="N235"/>
      <c r="O235"/>
    </row>
    <row r="236">
      <c r="C236"/>
      <c r="D236"/>
      <c r="E236" t="str">
        <v>단가</v>
      </c>
      <c r="F236"/>
      <c r="G236"/>
      <c r="H236"/>
      <c r="I236"/>
      <c r="J236"/>
      <c r="K236"/>
      <c r="L236"/>
      <c r="N236"/>
      <c r="O236"/>
    </row>
    <row r="237">
      <c r="C237" s="12"/>
      <c r="D237" s="12"/>
      <c r="E237" s="1"/>
      <c r="F237" s="8"/>
      <c r="G237" s="12"/>
      <c r="H237" s="12"/>
      <c r="I237" s="1"/>
      <c r="J237" s="1"/>
      <c r="K237" s="1" t="e">
        <f>+E237*F237</f>
      </c>
      <c r="L237" s="1"/>
      <c r="N237"/>
      <c r="O237"/>
    </row>
    <row r="238" hidden="1">
      <c r="C238" s="12"/>
      <c r="D238" s="12"/>
      <c r="E238" s="1"/>
      <c r="F238" s="8"/>
      <c r="G238" s="12"/>
      <c r="H238" s="12"/>
      <c r="I238" s="1"/>
      <c r="J238" s="1"/>
      <c r="K238" s="1" t="e">
        <f>+E238*F238</f>
      </c>
      <c r="L238" s="1"/>
      <c r="N238"/>
      <c r="O238"/>
    </row>
    <row r="239" hidden="1">
      <c r="C239" s="12"/>
      <c r="D239" s="12"/>
      <c r="E239" s="1"/>
      <c r="F239" s="8"/>
      <c r="G239" s="12"/>
      <c r="H239" s="12"/>
      <c r="I239" s="1"/>
      <c r="J239" s="1"/>
      <c r="K239" s="1" t="e">
        <f>+E239*F239</f>
      </c>
      <c r="L239" s="1"/>
    </row>
    <row r="240" hidden="1">
      <c r="C240" s="12"/>
      <c r="D240" s="12"/>
      <c r="E240" s="1"/>
      <c r="F240" s="8"/>
      <c r="G240" s="12"/>
      <c r="H240" s="12"/>
      <c r="I240" s="1"/>
      <c r="J240" s="1"/>
      <c r="K240" s="1" t="e">
        <f>+E240*F240</f>
      </c>
      <c r="L240" s="1"/>
    </row>
    <row r="241" hidden="1">
      <c r="C241" s="12"/>
      <c r="D241" s="12"/>
      <c r="E241" s="1"/>
      <c r="F241" s="8"/>
      <c r="G241" s="12"/>
      <c r="H241" s="12"/>
      <c r="I241" s="1"/>
      <c r="J241" s="1"/>
      <c r="K241" s="1" t="e">
        <f>+E241*F241</f>
      </c>
      <c r="L241" s="1"/>
    </row>
    <row r="242" ht="33.75" customHeight="1">
      <c r="C242" s="12"/>
      <c r="D242" s="12"/>
      <c r="E242" s="1"/>
      <c r="F242" s="8"/>
      <c r="G242" s="12"/>
      <c r="H242" s="12"/>
      <c r="I242" s="1"/>
      <c r="J242" s="1"/>
      <c r="K242" s="1" t="e">
        <f>+E242*F242</f>
      </c>
      <c r="L242" s="1"/>
      <c r="M242"/>
      <c r="N242"/>
      <c r="O242"/>
      <c r="P242"/>
      <c r="Q242"/>
    </row>
    <row r="243" ht="17.5" customHeight="1">
      <c r="C243" s="9" t="str">
        <v>소계</v>
      </c>
      <c r="D243" s="9"/>
      <c r="E243" s="9"/>
      <c r="F243" s="9"/>
      <c r="G243" s="9"/>
      <c r="H243" s="9"/>
      <c r="I243" s="1"/>
      <c r="J243" s="1"/>
      <c r="K243" s="1" t="e">
        <f>SUM(K237:K242)</f>
      </c>
      <c r="L243" s="1"/>
    </row>
    <row r="244" ht="18" customHeight="1">
      <c r="C244"/>
    </row>
    <row r="245" hidden="1" ht="17.5" customHeight="1">
      <c r="C245" s="9"/>
      <c r="D245" s="9"/>
      <c r="E245" s="9"/>
      <c r="F245" s="9"/>
      <c r="G245"/>
      <c r="H245" s="9"/>
      <c r="I245" s="1"/>
      <c r="J245" s="1"/>
      <c r="K245" s="1"/>
      <c r="L245"/>
    </row>
    <row r="246" hidden="1" ht="18" customHeight="1">
      <c r="C246"/>
      <c r="K246" t="str">
        <v>합계</v>
      </c>
      <c r="L246" s="1" t="e">
        <f>SUM(K251)</f>
      </c>
    </row>
    <row r="247" hidden="1" ht="18" customHeight="1">
      <c r="C247" t="str">
        <v>자. 연구수당</v>
      </c>
    </row>
    <row r="248" hidden="1">
      <c r="C248" t="str">
        <v>내역</v>
      </c>
      <c r="D248"/>
      <c r="E248" t="str">
        <v>산출내역</v>
      </c>
      <c r="F248"/>
      <c r="G248"/>
      <c r="H248"/>
      <c r="I248"/>
      <c r="J248"/>
      <c r="K248" t="str">
        <v>합계</v>
      </c>
      <c r="L248" t="str">
        <v>비고</v>
      </c>
      <c r="N248"/>
    </row>
    <row r="249" hidden="1">
      <c r="C249" s="9" t="str">
        <v>연구수당</v>
      </c>
      <c r="D249" s="9"/>
      <c r="E249" s="9" t="str">
        <v>인건비의 20% 이내</v>
      </c>
      <c r="F249" s="9" t="str">
        <v>(인건비)</v>
      </c>
      <c r="G249" s="9" t="str">
        <v>(인건비 20%)</v>
      </c>
      <c r="H249" s="2" t="str">
        <v>(인건비 15%)</v>
      </c>
      <c r="I249" s="9"/>
      <c r="J249" s="2"/>
      <c r="K249" s="1" t="e">
        <f>K250</f>
      </c>
    </row>
    <row r="250" hidden="1" ht="17.5" customHeight="1">
      <c r="C250" s="9"/>
      <c r="D250" s="9"/>
      <c r="E250" s="9"/>
      <c r="I250" s="9"/>
      <c r="J250"/>
      <c r="K250" s="1"/>
      <c r="L250"/>
      <c r="N250" s="1"/>
    </row>
    <row r="251" hidden="1" ht="17.5" customHeight="1">
      <c r="C251" s="9" t="str">
        <v>소계</v>
      </c>
      <c r="D251" s="9"/>
      <c r="E251" s="9"/>
      <c r="F251" s="9"/>
      <c r="G251" s="9"/>
      <c r="H251" s="9"/>
      <c r="I251" s="9"/>
      <c r="J251"/>
      <c r="K251" s="1" t="e">
        <f>SUM(K250)</f>
      </c>
      <c r="L251"/>
    </row>
    <row r="252" hidden="1">
      <c r="C252" s="9"/>
      <c r="D252" s="9"/>
      <c r="E252" s="9"/>
      <c r="F252" s="9"/>
      <c r="G252" s="9"/>
      <c r="H252" s="9"/>
      <c r="I252" s="9"/>
      <c r="J252"/>
      <c r="K252" s="9"/>
      <c r="L252"/>
    </row>
    <row r="253" hidden="1" ht="17.5" customHeight="1">
      <c r="C253"/>
    </row>
    <row r="254" hidden="1" ht="18" customHeight="1">
      <c r="C254" t="str">
        <v>바. 국제공동연구개발비</v>
      </c>
      <c r="K254" t="str">
        <v>합계</v>
      </c>
      <c r="L254" s="1" t="e">
        <f>SUM(K259)</f>
      </c>
    </row>
    <row r="255" hidden="1">
      <c r="C255" t="str">
        <v>품명</v>
      </c>
      <c r="D255" t="str">
        <v>산출내역</v>
      </c>
      <c r="E255" t="str">
        <v>규격</v>
      </c>
      <c r="F255" t="str">
        <v>단위</v>
      </c>
      <c r="G255" t="str">
        <v>수량</v>
      </c>
      <c r="H255" t="str">
        <v>단가</v>
      </c>
      <c r="I255" t="str">
        <v>총액(원)_현금</v>
      </c>
      <c r="J255" t="str">
        <v>총액(원)_현물</v>
      </c>
      <c r="K255" t="str">
        <v>총액(원)_합계</v>
      </c>
      <c r="L255" t="str">
        <v>비고</v>
      </c>
    </row>
    <row r="256" hidden="1">
      <c r="C256" s="9"/>
      <c r="D256" s="9"/>
      <c r="E256" s="9"/>
      <c r="F256" s="9"/>
      <c r="G256"/>
      <c r="H256" s="5"/>
      <c r="I256" s="5"/>
      <c r="J256" s="1"/>
      <c r="K256" s="1" t="e">
        <f>I256+J256</f>
      </c>
      <c r="L256"/>
    </row>
    <row r="257" hidden="1">
      <c r="C257" s="9"/>
      <c r="D257" s="9"/>
      <c r="E257" s="9"/>
      <c r="F257" s="9"/>
      <c r="G257"/>
      <c r="H257" s="5"/>
      <c r="I257" s="5" t="e">
        <f>ROUND(G257*H257,0)</f>
      </c>
      <c r="J257" s="1"/>
      <c r="K257" s="1" t="e">
        <f>I257+J257</f>
      </c>
      <c r="L257"/>
    </row>
    <row r="258" hidden="1" ht="17.5" customHeight="1">
      <c r="C258" s="9"/>
      <c r="D258" s="9"/>
      <c r="E258" s="9"/>
      <c r="F258" s="9"/>
      <c r="G258"/>
      <c r="H258" s="5"/>
      <c r="I258" s="5" t="e">
        <f>ROUND(G258*H258,0)</f>
      </c>
      <c r="J258" s="1"/>
      <c r="K258" s="1" t="e">
        <f>I258+J258</f>
      </c>
      <c r="L258"/>
    </row>
    <row r="259" hidden="1" ht="17.5" customHeight="1">
      <c r="C259" s="9" t="str">
        <v>소계</v>
      </c>
      <c r="D259" s="9"/>
      <c r="E259" s="9"/>
      <c r="F259" s="9"/>
      <c r="G259"/>
      <c r="H259" s="9"/>
      <c r="I259" s="1" t="e">
        <f>SUM(I256:I258)</f>
      </c>
      <c r="J259" s="1" t="e">
        <f>SUM(J256:J258)</f>
      </c>
      <c r="K259" s="1" t="e">
        <f>SUM(K256:K258)</f>
      </c>
      <c r="L259"/>
    </row>
    <row r="260" hidden="1" ht="17.5" customHeight="1">
      <c r="C260" s="9"/>
      <c r="D260" s="9"/>
      <c r="E260" s="9"/>
      <c r="F260" s="9"/>
      <c r="G260"/>
      <c r="H260" s="9"/>
      <c r="I260" s="1"/>
      <c r="J260" s="1"/>
      <c r="K260" s="1"/>
      <c r="L260"/>
    </row>
    <row r="261" hidden="1">
      <c r="C261" s="9"/>
      <c r="D261" s="9"/>
      <c r="E261" s="9"/>
      <c r="F261" s="9"/>
      <c r="G261"/>
      <c r="H261" s="9"/>
      <c r="I261" s="1"/>
      <c r="J261" s="1"/>
      <c r="K261" s="1"/>
      <c r="L261"/>
    </row>
    <row r="262" hidden="1" ht="17.5" customHeight="1"/>
    <row r="263" ht="18" customHeight="1">
      <c r="C263" t="str">
        <v>2. 간접비 소요명세</v>
      </c>
      <c r="K263" t="str">
        <v>합계</v>
      </c>
      <c r="L263" s="1" t="e">
        <f>SUM(K268,K279,K287)</f>
      </c>
    </row>
    <row r="264" ht="17.5" customHeight="1">
      <c r="C264" t="str">
        <v>가. 인력지원비</v>
      </c>
    </row>
    <row r="265" hidden="1">
      <c r="C265" t="str">
        <v>내역</v>
      </c>
      <c r="D265"/>
      <c r="E265" t="str">
        <v>산출내역</v>
      </c>
      <c r="F265"/>
      <c r="G265"/>
      <c r="H265"/>
      <c r="I265"/>
      <c r="J265"/>
      <c r="K265" t="str">
        <v>합계</v>
      </c>
      <c r="L265" t="str">
        <v>비고</v>
      </c>
      <c r="O265" s="9"/>
    </row>
    <row r="266" hidden="1">
      <c r="C266" s="9" t="str">
        <v>지원인력 인건비</v>
      </c>
      <c r="D266" s="9"/>
      <c r="E266" s="9"/>
      <c r="F266" s="9"/>
      <c r="G266" s="9"/>
      <c r="H266" s="9"/>
      <c r="I266" s="1"/>
      <c r="J266" s="2"/>
      <c r="K266" s="1"/>
      <c r="L266" s="2"/>
    </row>
    <row r="267" hidden="1" ht="17.5" customHeight="1">
      <c r="C267" s="9"/>
      <c r="D267" s="9"/>
      <c r="E267" s="9"/>
      <c r="F267" s="9"/>
      <c r="G267" s="9"/>
      <c r="H267" s="9"/>
      <c r="I267" s="1"/>
      <c r="J267" s="1"/>
      <c r="K267" s="1"/>
      <c r="L267" s="1"/>
    </row>
    <row r="268" hidden="1" ht="17.5" customHeight="1">
      <c r="C268" s="9" t="str">
        <v>소계</v>
      </c>
      <c r="D268" s="9"/>
      <c r="E268" s="9"/>
      <c r="F268" s="9"/>
      <c r="G268" s="9"/>
      <c r="H268" s="9"/>
      <c r="I268" s="1"/>
      <c r="J268"/>
      <c r="K268" s="1" t="e">
        <f>SUM(K266:K267)</f>
      </c>
      <c r="L268"/>
    </row>
    <row r="269" hidden="1" ht="17.5" customHeight="1">
      <c r="C269"/>
    </row>
    <row r="270" ht="17.5" customHeight="1">
      <c r="C270"/>
    </row>
    <row r="271" ht="18" customHeight="1">
      <c r="C271" t="str">
        <v>나. 연구지원비</v>
      </c>
    </row>
    <row r="272">
      <c r="C272" t="str">
        <v>내역</v>
      </c>
      <c r="D272"/>
      <c r="E272" t="str">
        <v>산출내역</v>
      </c>
      <c r="F272"/>
      <c r="G272"/>
      <c r="H272"/>
      <c r="I272"/>
      <c r="J272"/>
      <c r="K272" t="str">
        <v>합계</v>
      </c>
      <c r="L272" t="str">
        <v>비고</v>
      </c>
    </row>
    <row r="273" hidden="1">
      <c r="C273" s="9"/>
      <c r="D273" s="9"/>
      <c r="E273" s="9"/>
      <c r="F273" s="9"/>
      <c r="G273" s="9"/>
      <c r="H273" s="9"/>
      <c r="I273" s="1"/>
      <c r="J273" s="2"/>
      <c r="K273" s="1"/>
      <c r="L273" s="2"/>
    </row>
    <row r="274" hidden="1">
      <c r="C274" s="9"/>
      <c r="D274" s="9"/>
      <c r="E274" s="9"/>
      <c r="F274" s="9"/>
      <c r="G274" s="9"/>
      <c r="H274" s="9"/>
      <c r="I274" s="1"/>
      <c r="J274" s="2"/>
      <c r="K274" s="1"/>
      <c r="L274" s="2"/>
    </row>
    <row r="275">
      <c r="C275" s="9"/>
      <c r="D275" s="9"/>
      <c r="E275" s="1"/>
      <c r="F275" s="1"/>
      <c r="G275" s="1"/>
      <c r="H275" s="1"/>
      <c r="I275" s="1"/>
      <c r="J275" s="7"/>
      <c r="K275" s="1" t="e">
        <f>E275*I275</f>
      </c>
      <c r="L275" s="7"/>
    </row>
    <row r="276" hidden="1">
      <c r="C276" s="9"/>
      <c r="D276" s="9"/>
      <c r="E276" s="9"/>
      <c r="F276" s="9"/>
      <c r="G276" s="9"/>
      <c r="H276" s="9"/>
      <c r="I276" s="1"/>
      <c r="J276" s="2"/>
      <c r="K276" s="1"/>
      <c r="L276" s="2"/>
    </row>
    <row r="277" hidden="1">
      <c r="C277" s="9"/>
      <c r="D277" s="9"/>
      <c r="E277" s="9"/>
      <c r="F277" s="9"/>
      <c r="G277" s="9"/>
      <c r="H277" s="9"/>
      <c r="I277" s="1"/>
      <c r="J277" s="2"/>
      <c r="K277" s="1"/>
      <c r="L277" s="2"/>
    </row>
    <row r="278" hidden="1">
      <c r="C278" s="9"/>
      <c r="D278" s="9"/>
      <c r="E278" s="9"/>
      <c r="F278" s="9"/>
      <c r="G278" s="9"/>
      <c r="H278" s="9"/>
      <c r="I278" s="1"/>
      <c r="J278" s="2"/>
      <c r="K278" s="1"/>
      <c r="L278" s="2"/>
    </row>
    <row r="279" ht="17.5" customHeight="1">
      <c r="C279" s="9" t="str">
        <v>소계</v>
      </c>
      <c r="D279" s="9"/>
      <c r="E279" s="9"/>
      <c r="F279" s="9"/>
      <c r="G279" s="9"/>
      <c r="H279" s="9"/>
      <c r="I279" s="1"/>
      <c r="J279"/>
      <c r="K279" s="1" t="e">
        <f>SUM(K273:K278)</f>
      </c>
      <c r="L279"/>
    </row>
    <row r="280" ht="17.25" customHeight="1"/>
    <row r="282" ht="17.5" customHeight="1">
      <c r="C282" t="str">
        <v>다. 성과활용지원비</v>
      </c>
    </row>
    <row r="283" hidden="1">
      <c r="C283" t="str">
        <v>내역</v>
      </c>
      <c r="D283"/>
      <c r="E283" t="str">
        <v>산출내역</v>
      </c>
      <c r="F283"/>
      <c r="G283"/>
      <c r="H283"/>
      <c r="I283"/>
      <c r="J283"/>
      <c r="K283" t="str">
        <v>합계</v>
      </c>
      <c r="L283" t="str">
        <v>비고</v>
      </c>
    </row>
    <row r="284" hidden="1">
      <c r="C284" s="9"/>
      <c r="D284" s="9"/>
      <c r="E284" s="9"/>
      <c r="F284" s="9"/>
      <c r="G284" s="9"/>
      <c r="H284" s="9"/>
      <c r="I284" s="1"/>
      <c r="J284" s="2"/>
      <c r="K284" s="1"/>
      <c r="L284" s="2"/>
    </row>
    <row r="285" hidden="1">
      <c r="C285" s="9" t="str">
        <v>지식재산권 출원/등록비</v>
      </c>
      <c r="D285" s="9"/>
      <c r="E285" s="9"/>
      <c r="F285" s="9"/>
      <c r="G285" s="9"/>
      <c r="H285" s="9"/>
      <c r="I285"/>
      <c r="J285" s="1"/>
      <c r="K285" s="1" t="e">
        <f>I285*J285</f>
      </c>
      <c r="L285" s="2"/>
    </row>
    <row r="286" hidden="1" ht="17.5" customHeight="1">
      <c r="C286" s="9"/>
      <c r="D286" s="9"/>
      <c r="E286" s="9"/>
      <c r="F286" s="9"/>
      <c r="G286" s="9"/>
      <c r="H286" s="9"/>
      <c r="I286" s="1"/>
      <c r="J286" s="1"/>
      <c r="K286" s="1"/>
      <c r="L286" s="1"/>
    </row>
    <row r="287" hidden="1" ht="17.5" customHeight="1">
      <c r="C287" s="9" t="str">
        <v>소계</v>
      </c>
      <c r="D287" s="9"/>
      <c r="E287" s="9"/>
      <c r="F287" s="9"/>
      <c r="G287" s="9"/>
      <c r="H287" s="9"/>
      <c r="I287" s="1"/>
      <c r="J287"/>
      <c r="K287" s="1" t="e">
        <f>SUM(K284:K286)</f>
      </c>
      <c r="L287"/>
    </row>
  </sheetData>
  <mergeCells count="228">
    <mergeCell ref="M242:N242"/>
    <mergeCell ref="C91:I91"/>
    <mergeCell ref="C92:I92"/>
    <mergeCell ref="C89:C90"/>
    <mergeCell ref="C88:I88"/>
    <mergeCell ref="C2:K2"/>
    <mergeCell ref="C4:C6"/>
    <mergeCell ref="D4:E4"/>
    <mergeCell ref="P4:Q5"/>
    <mergeCell ref="D5:D6"/>
    <mergeCell ref="E5:E6"/>
    <mergeCell ref="F5:G5"/>
    <mergeCell ref="H5:I5"/>
    <mergeCell ref="J5:K5"/>
    <mergeCell ref="C11:C12"/>
    <mergeCell ref="D11:F12"/>
    <mergeCell ref="L11:L12"/>
    <mergeCell ref="C13:C35"/>
    <mergeCell ref="D13:D18"/>
    <mergeCell ref="E13:E14"/>
    <mergeCell ref="E15:E16"/>
    <mergeCell ref="E17:E18"/>
    <mergeCell ref="D19:E20"/>
    <mergeCell ref="D30:E31"/>
    <mergeCell ref="D32:F32"/>
    <mergeCell ref="D33:E34"/>
    <mergeCell ref="D35:F35"/>
    <mergeCell ref="C37:F37"/>
    <mergeCell ref="D21:F21"/>
    <mergeCell ref="D22:F22"/>
    <mergeCell ref="D23:E24"/>
    <mergeCell ref="D25:F25"/>
    <mergeCell ref="D26:E27"/>
    <mergeCell ref="D28:E29"/>
    <mergeCell ref="E50:H50"/>
    <mergeCell ref="C38:F38"/>
    <mergeCell ref="C39:F39"/>
    <mergeCell ref="C43:H43"/>
    <mergeCell ref="C44:C55"/>
    <mergeCell ref="D44:D51"/>
    <mergeCell ref="E44:E45"/>
    <mergeCell ref="F44:G45"/>
    <mergeCell ref="E46:H46"/>
    <mergeCell ref="E47:H47"/>
    <mergeCell ref="E48:H48"/>
    <mergeCell ref="P92:Q92"/>
    <mergeCell ref="C159:D160"/>
    <mergeCell ref="E159:H159"/>
    <mergeCell ref="I159:I160"/>
    <mergeCell ref="J159:J160"/>
    <mergeCell ref="K159:K160"/>
    <mergeCell ref="C56:H56"/>
    <mergeCell ref="E62:E64"/>
    <mergeCell ref="F62:F64"/>
    <mergeCell ref="G62:G64"/>
    <mergeCell ref="C62:C64"/>
    <mergeCell ref="D62:D64"/>
    <mergeCell ref="C65:C87"/>
    <mergeCell ref="H62:H64"/>
    <mergeCell ref="I62:I64"/>
    <mergeCell ref="J62:L63"/>
    <mergeCell ref="N92:O92"/>
    <mergeCell ref="N91:O91"/>
    <mergeCell ref="I184:I185"/>
    <mergeCell ref="J184:J185"/>
    <mergeCell ref="K184:K185"/>
    <mergeCell ref="C177:D177"/>
    <mergeCell ref="C178:D178"/>
    <mergeCell ref="C179:D179"/>
    <mergeCell ref="C180:D180"/>
    <mergeCell ref="C181:D181"/>
    <mergeCell ref="E181:H181"/>
    <mergeCell ref="C186:C187"/>
    <mergeCell ref="C188:D188"/>
    <mergeCell ref="E188:H188"/>
    <mergeCell ref="C190:C191"/>
    <mergeCell ref="D190:D191"/>
    <mergeCell ref="E190:H190"/>
    <mergeCell ref="I190:I191"/>
    <mergeCell ref="J190:J191"/>
    <mergeCell ref="K190:K191"/>
    <mergeCell ref="D186:D187"/>
    <mergeCell ref="E186:E187"/>
    <mergeCell ref="F186:F187"/>
    <mergeCell ref="G186:G187"/>
    <mergeCell ref="I186:I187"/>
    <mergeCell ref="J186:J187"/>
    <mergeCell ref="K186:K187"/>
    <mergeCell ref="L190:L191"/>
    <mergeCell ref="C193:D193"/>
    <mergeCell ref="E193:H193"/>
    <mergeCell ref="C196:D197"/>
    <mergeCell ref="E196:H196"/>
    <mergeCell ref="I196:I197"/>
    <mergeCell ref="J196:J197"/>
    <mergeCell ref="K196:K197"/>
    <mergeCell ref="L196:L197"/>
    <mergeCell ref="G214:H214"/>
    <mergeCell ref="C217:D218"/>
    <mergeCell ref="E217:H217"/>
    <mergeCell ref="I217:I218"/>
    <mergeCell ref="J217:J218"/>
    <mergeCell ref="K217:K218"/>
    <mergeCell ref="C198:D198"/>
    <mergeCell ref="C199:D199"/>
    <mergeCell ref="C200:D200"/>
    <mergeCell ref="C201:D201"/>
    <mergeCell ref="E201:H201"/>
    <mergeCell ref="C211:C213"/>
    <mergeCell ref="C205:C206"/>
    <mergeCell ref="C226:D227"/>
    <mergeCell ref="E226:H226"/>
    <mergeCell ref="I226:I227"/>
    <mergeCell ref="J226:J227"/>
    <mergeCell ref="K226:K227"/>
    <mergeCell ref="L226:L227"/>
    <mergeCell ref="L217:L218"/>
    <mergeCell ref="C219:D219"/>
    <mergeCell ref="C220:D220"/>
    <mergeCell ref="C221:D221"/>
    <mergeCell ref="C222:D222"/>
    <mergeCell ref="C223:D223"/>
    <mergeCell ref="E223:H223"/>
    <mergeCell ref="E235:H235"/>
    <mergeCell ref="I235:I236"/>
    <mergeCell ref="J235:J236"/>
    <mergeCell ref="K235:K236"/>
    <mergeCell ref="L235:L236"/>
    <mergeCell ref="C228:D228"/>
    <mergeCell ref="C229:D229"/>
    <mergeCell ref="C230:D230"/>
    <mergeCell ref="C231:D231"/>
    <mergeCell ref="C232:D232"/>
    <mergeCell ref="E232:H232"/>
    <mergeCell ref="C243:D243"/>
    <mergeCell ref="C248:D248"/>
    <mergeCell ref="E248:H248"/>
    <mergeCell ref="C249:D249"/>
    <mergeCell ref="C250:D250"/>
    <mergeCell ref="C237:D237"/>
    <mergeCell ref="C238:D238"/>
    <mergeCell ref="C239:D239"/>
    <mergeCell ref="C240:D240"/>
    <mergeCell ref="C241:D241"/>
    <mergeCell ref="C267:D267"/>
    <mergeCell ref="E267:H267"/>
    <mergeCell ref="C268:D268"/>
    <mergeCell ref="E268:H268"/>
    <mergeCell ref="C272:D272"/>
    <mergeCell ref="E272:H272"/>
    <mergeCell ref="C251:D251"/>
    <mergeCell ref="E251:H251"/>
    <mergeCell ref="C265:D265"/>
    <mergeCell ref="E265:H265"/>
    <mergeCell ref="C266:D266"/>
    <mergeCell ref="E266:H266"/>
    <mergeCell ref="C276:D276"/>
    <mergeCell ref="E276:H276"/>
    <mergeCell ref="C277:D277"/>
    <mergeCell ref="E277:H277"/>
    <mergeCell ref="C278:D278"/>
    <mergeCell ref="E278:H278"/>
    <mergeCell ref="C273:D273"/>
    <mergeCell ref="E273:H273"/>
    <mergeCell ref="C274:D274"/>
    <mergeCell ref="E274:H274"/>
    <mergeCell ref="C275:D275"/>
    <mergeCell ref="E275:H275"/>
    <mergeCell ref="C285:D285"/>
    <mergeCell ref="E285:H285"/>
    <mergeCell ref="C286:D286"/>
    <mergeCell ref="E286:H286"/>
    <mergeCell ref="C287:D287"/>
    <mergeCell ref="E287:H287"/>
    <mergeCell ref="C279:D279"/>
    <mergeCell ref="E279:H279"/>
    <mergeCell ref="C283:D283"/>
    <mergeCell ref="E283:H283"/>
    <mergeCell ref="C284:D284"/>
    <mergeCell ref="E284:H284"/>
    <mergeCell ref="F4:K4"/>
    <mergeCell ref="L4:M5"/>
    <mergeCell ref="L7:M7"/>
    <mergeCell ref="L6:M6"/>
    <mergeCell ref="H11:H12"/>
    <mergeCell ref="J38:K38"/>
    <mergeCell ref="L184:L185"/>
    <mergeCell ref="E175:H175"/>
    <mergeCell ref="I175:I176"/>
    <mergeCell ref="J175:J176"/>
    <mergeCell ref="K175:K176"/>
    <mergeCell ref="L175:L176"/>
    <mergeCell ref="L166:L167"/>
    <mergeCell ref="E172:H172"/>
    <mergeCell ref="L159:L160"/>
    <mergeCell ref="E163:H163"/>
    <mergeCell ref="E166:H166"/>
    <mergeCell ref="I166:I167"/>
    <mergeCell ref="J166:J167"/>
    <mergeCell ref="K166:K167"/>
    <mergeCell ref="C36:F36"/>
    <mergeCell ref="C184:C185"/>
    <mergeCell ref="D184:D185"/>
    <mergeCell ref="E184:H184"/>
    <mergeCell ref="O242:Q242"/>
    <mergeCell ref="J39:K39"/>
    <mergeCell ref="C175:D176"/>
    <mergeCell ref="C168:D168"/>
    <mergeCell ref="C169:D169"/>
    <mergeCell ref="C170:D170"/>
    <mergeCell ref="C171:D171"/>
    <mergeCell ref="C172:D172"/>
    <mergeCell ref="C161:D161"/>
    <mergeCell ref="C162:D162"/>
    <mergeCell ref="C163:D163"/>
    <mergeCell ref="C166:D167"/>
    <mergeCell ref="E49:H49"/>
    <mergeCell ref="E51:H51"/>
    <mergeCell ref="D52:D55"/>
    <mergeCell ref="E52:H52"/>
    <mergeCell ref="E53:H53"/>
    <mergeCell ref="E54:H54"/>
    <mergeCell ref="E55:H55"/>
    <mergeCell ref="L186:L187"/>
    <mergeCell ref="N187:O187"/>
    <mergeCell ref="N188:O188"/>
    <mergeCell ref="C242:D242"/>
    <mergeCell ref="C235:D236"/>
  </mergeCells>
  <pageMargins left="0.7086614173228347" right="0.7086614173228347" top="0.7480314960629921" bottom="0.7480314960629921" header="0.31496062992125984" footer="0.31496062992125984"/>
  <ignoredErrors>
    <ignoredError numberStoredAsText="1" sqref="B1:S2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예산총괄표_250305</vt:lpstr>
      <vt:lpstr>유엔이_총괄표</vt:lpstr>
      <vt:lpstr>1차년도_250520</vt:lpstr>
      <vt:lpstr>2차년도_250520</vt:lpstr>
      <vt:lpstr>3차년도_250520</vt:lpstr>
      <vt:lpstr>4차년도_250520</vt:lpstr>
      <vt:lpstr>검토_1차년도</vt:lpstr>
      <vt:lpstr>검토_2차년도</vt:lpstr>
      <vt:lpstr>검토_3차년도</vt:lpstr>
      <vt:lpstr>검토_4차년도</vt:lpstr>
      <vt:lpstr>검토_합계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2022-01-10T09:21:26Z</dcterms:created>
  <dcterms:modified xsi:type="dcterms:W3CDTF">2025-05-20T13:00:07Z</dcterms:modified>
  <cp:lastModifiedBy>재난안전기술연구소_김도현</cp:lastModifiedBy>
  <cp:lastPrinted>2024-05-24T01:34:14Z</cp:lastPrinted>
  <dc:creator>Plan_PC_06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93c1e9c9-7978-47c9-8042-9d780995f41d</vt:lpwstr>
  </property>
</Properties>
</file>